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G\CLG PRO\EXCEL Sheets\"/>
    </mc:Choice>
  </mc:AlternateContent>
  <xr:revisionPtr revIDLastSave="0" documentId="13_ncr:1_{786F8AD2-CFAE-4143-90E1-592F286D4227}" xr6:coauthVersionLast="47" xr6:coauthVersionMax="47" xr10:uidLastSave="{00000000-0000-0000-0000-000000000000}"/>
  <bookViews>
    <workbookView xWindow="-120" yWindow="-120" windowWidth="29040" windowHeight="16440" xr2:uid="{75742A70-C20F-49A4-AEFC-E351D2BE518E}"/>
  </bookViews>
  <sheets>
    <sheet name="Sheet1" sheetId="1" r:id="rId1"/>
    <sheet name="Table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B62" i="1"/>
  <c r="B57" i="1"/>
  <c r="B58" i="1" s="1"/>
  <c r="B59" i="1" s="1"/>
  <c r="E50" i="1"/>
  <c r="E45" i="1"/>
  <c r="E42" i="1"/>
  <c r="B50" i="1"/>
  <c r="B53" i="1"/>
  <c r="B45" i="1"/>
  <c r="B42" i="1"/>
  <c r="B32" i="1" a="1"/>
  <c r="B31" i="1" a="1"/>
  <c r="E3" i="1"/>
  <c r="C23" i="1"/>
  <c r="B15" i="1"/>
  <c r="B16" i="1" s="1"/>
  <c r="B14" i="1"/>
  <c r="E53" i="1" s="1"/>
  <c r="B13" i="1"/>
  <c r="E32" i="1" l="1"/>
  <c r="E41" i="1" s="1"/>
  <c r="E43" i="1" s="1"/>
  <c r="E31" i="1"/>
  <c r="E49" i="1" s="1"/>
  <c r="E51" i="1" s="1"/>
  <c r="H4" i="1"/>
  <c r="H1" i="1"/>
  <c r="I2" i="1" l="1" a="1"/>
  <c r="I3" i="1" s="1" a="1"/>
  <c r="H2" i="1" a="1"/>
  <c r="H3" i="1" s="1" a="1"/>
  <c r="J2" i="1" a="1"/>
  <c r="J3" i="1" s="1" a="1"/>
  <c r="I4" i="1" l="1"/>
  <c r="B29" i="1" s="1"/>
  <c r="E29" i="1" s="1"/>
  <c r="J4" i="1"/>
  <c r="B30" i="1" s="1"/>
  <c r="E30" i="1" s="1"/>
  <c r="B49" i="1" l="1"/>
  <c r="B51" i="1" s="1"/>
  <c r="C20" i="1"/>
  <c r="E35" i="1" s="1"/>
  <c r="E36" i="1" s="1"/>
  <c r="B41" i="1"/>
  <c r="B43" i="1" s="1"/>
  <c r="C22" i="1" l="1"/>
  <c r="C24" i="1" s="1"/>
  <c r="B60" i="1" s="1"/>
  <c r="B61" i="1" s="1"/>
  <c r="B63" i="1" s="1"/>
  <c r="B6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<sst xmlns="http://schemas.openxmlformats.org/spreadsheetml/2006/main" count="80" uniqueCount="57">
  <si>
    <t>Lx</t>
  </si>
  <si>
    <t>Ly</t>
  </si>
  <si>
    <t>Fck</t>
  </si>
  <si>
    <t>Fy</t>
  </si>
  <si>
    <t>Overall Depth D (mm)</t>
  </si>
  <si>
    <t>Clear Cover (mm)</t>
  </si>
  <si>
    <t>Bar Diameter (mm)</t>
  </si>
  <si>
    <t>Imposed Load (KN/m²)</t>
  </si>
  <si>
    <t>Floor Finish (KN/m²)</t>
  </si>
  <si>
    <t>Assume:</t>
  </si>
  <si>
    <r>
      <t>Effective Depth - Short (</t>
    </r>
    <r>
      <rPr>
        <sz val="11"/>
        <color theme="1"/>
        <rFont val="Arial"/>
        <family val="2"/>
      </rPr>
      <t>dx</t>
    </r>
    <r>
      <rPr>
        <sz val="11"/>
        <color theme="1"/>
        <rFont val="Aptos Narrow"/>
        <family val="2"/>
        <scheme val="minor"/>
      </rPr>
      <t>):</t>
    </r>
  </si>
  <si>
    <t>Effective Depth - long (dy):</t>
  </si>
  <si>
    <t>Self Weight (KN/m²)</t>
  </si>
  <si>
    <t>Factored Load (W)</t>
  </si>
  <si>
    <t xml:space="preserve">Maximum Bending Moment (Mu) in (KN-m) </t>
  </si>
  <si>
    <t>Ast (Shorter Span)</t>
  </si>
  <si>
    <t>Ast Limit</t>
  </si>
  <si>
    <t>Final Required Ast</t>
  </si>
  <si>
    <t xml:space="preserve">Table 26 </t>
  </si>
  <si>
    <t>Bending Moment Coefficients for Rectangular Panels Supported on Four Sides with Provision for Torsion at Corners</t>
  </si>
  <si>
    <t>Case No.</t>
  </si>
  <si>
    <t xml:space="preserve">Negetive Alpha(x) Values </t>
  </si>
  <si>
    <t>Positive Alpha(x) Values</t>
  </si>
  <si>
    <t>Negative Alpha(y)</t>
  </si>
  <si>
    <t>Positive Alpha(y)</t>
  </si>
  <si>
    <t>Case Number</t>
  </si>
  <si>
    <t>Ly/Lx Ratio</t>
  </si>
  <si>
    <t>Slab Type</t>
  </si>
  <si>
    <t>Alpha x (-ve)</t>
  </si>
  <si>
    <t>Alpha x (+ve)</t>
  </si>
  <si>
    <t>Alpha y (-ve)</t>
  </si>
  <si>
    <t>Alpha y (+ve)</t>
  </si>
  <si>
    <t>(Mux -ve):</t>
  </si>
  <si>
    <t>(Mux +ve):</t>
  </si>
  <si>
    <t>(Muy -ve):</t>
  </si>
  <si>
    <t>(Muy +ve):</t>
  </si>
  <si>
    <t>Check For Depth</t>
  </si>
  <si>
    <t>d required (mm)</t>
  </si>
  <si>
    <t>STATUS:</t>
  </si>
  <si>
    <t>SHORTER SPAN REINFORCEMENT (Ast,x)</t>
  </si>
  <si>
    <t>Calculated Ast (mm²)</t>
  </si>
  <si>
    <t xml:space="preserve">  +ve Reinforcement for shorter span:</t>
  </si>
  <si>
    <t>FINAL MINIMUM Ast,x</t>
  </si>
  <si>
    <t>Spacing</t>
  </si>
  <si>
    <t>S=</t>
  </si>
  <si>
    <t>Ast Limit (mm²)</t>
  </si>
  <si>
    <t xml:space="preserve">  -ve Reinforcement for shorter span:</t>
  </si>
  <si>
    <t>LONGER SPAN REINFORCEMENT (Ast,x)</t>
  </si>
  <si>
    <t xml:space="preserve">  +ve Reinforcement for Longer span:</t>
  </si>
  <si>
    <t xml:space="preserve">  -ve Reinforcement for Longer span:</t>
  </si>
  <si>
    <t>CHECK FOR DEFLECTION:</t>
  </si>
  <si>
    <t>Provided Spacing (mm)</t>
  </si>
  <si>
    <t>Ast Provided (mm²)</t>
  </si>
  <si>
    <t>Percentage of Steel Pt (%)</t>
  </si>
  <si>
    <t>Service Stress fs (N/mm²)</t>
  </si>
  <si>
    <t>Modification Factor (MF)</t>
  </si>
  <si>
    <t>Basic L/d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</si>
</sst>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Times New Roman"/>
      <family val="1"/>
    </font>
    <font>
      <sz val="10"/>
      <color theme="1"/>
      <name val="Arial Unicode MS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4" fillId="0" borderId="0" xfId="0" applyFont="1"/>
    <xf numFmtId="0" fontId="3" fillId="10" borderId="0" xfId="0" applyFont="1" applyFill="1"/>
    <xf numFmtId="0" fontId="4" fillId="10" borderId="0" xfId="0" applyFont="1" applyFill="1"/>
    <xf numFmtId="0" fontId="5" fillId="10" borderId="0" xfId="0" applyFont="1" applyFill="1" applyAlignment="1">
      <alignment vertical="center"/>
    </xf>
    <xf numFmtId="0" fontId="6" fillId="0" borderId="0" xfId="0" applyFont="1"/>
    <xf numFmtId="0" fontId="0" fillId="11" borderId="0" xfId="0" applyFill="1"/>
  </cellXfs>
  <cellStyles count="1">
    <cellStyle name="Normal" xfId="0" builtinId="0"/>
  </cellStyles>
  <dxfs count="7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5E1C-A5F9-4678-8BD7-C9260FB90A69}">
  <dimension ref="A1:J64"/>
  <sheetViews>
    <sheetView tabSelected="1" zoomScale="130" zoomScaleNormal="130" workbookViewId="0">
      <selection activeCell="B102" sqref="B102"/>
    </sheetView>
  </sheetViews>
  <sheetFormatPr defaultRowHeight="15" x14ac:dyDescent="0.25"/>
  <cols>
    <col min="1" max="1" width="28.140625" customWidth="1"/>
    <col min="2" max="2" width="36.5703125" customWidth="1"/>
    <col min="4" max="4" width="31" customWidth="1"/>
    <col min="5" max="5" width="15.7109375" customWidth="1"/>
    <col min="6" max="6" width="10.85546875" customWidth="1"/>
    <col min="9" max="9" width="12.28515625" customWidth="1"/>
  </cols>
  <sheetData>
    <row r="1" spans="1:10" x14ac:dyDescent="0.25">
      <c r="A1" t="s">
        <v>0</v>
      </c>
      <c r="B1">
        <v>1000</v>
      </c>
      <c r="H1">
        <f>MATCH(E2, Table26!$B$5:$I$5, 1)</f>
        <v>8</v>
      </c>
      <c r="I1" t="s">
        <v>28</v>
      </c>
      <c r="J1" t="s">
        <v>29</v>
      </c>
    </row>
    <row r="2" spans="1:10" x14ac:dyDescent="0.25">
      <c r="A2" t="s">
        <v>1</v>
      </c>
      <c r="B2">
        <v>3173</v>
      </c>
      <c r="D2" s="1" t="s">
        <v>26</v>
      </c>
      <c r="E2">
        <f>B2/B1</f>
        <v>3.173</v>
      </c>
      <c r="H2" cm="1">
        <f t="array" ref="H2">INDEX(Table26!$B$5:$I$5, H1)</f>
        <v>2</v>
      </c>
      <c r="I2" cm="1">
        <f t="array" ref="I2">INDEX(Table26!$B$6:$I$14, B28, H1)</f>
        <v>6.8000000000000005E-2</v>
      </c>
      <c r="J2" cm="1">
        <f t="array" ref="J2">INDEX(Table26!$B$18:$I$26, B28, H1)</f>
        <v>5.1999999999999998E-2</v>
      </c>
    </row>
    <row r="3" spans="1:10" x14ac:dyDescent="0.25">
      <c r="A3" t="s">
        <v>2</v>
      </c>
      <c r="B3">
        <v>20</v>
      </c>
      <c r="D3" s="1" t="s">
        <v>27</v>
      </c>
      <c r="E3" t="str">
        <f>IF(E2 &lt; 2, "Two-Way Slab", "One-Way Slab")</f>
        <v>One-Way Slab</v>
      </c>
      <c r="H3" cm="1">
        <f t="array" ref="H3">IF(H1=8, H2, INDEX(Table26!$B$5:$I$5, H1+1))</f>
        <v>2</v>
      </c>
      <c r="I3" cm="1">
        <f t="array" ref="I3">IF(H1=8, I2, INDEX(Table26!$B$6:$I$14, B28, H1+1))</f>
        <v>6.8000000000000005E-2</v>
      </c>
      <c r="J3" cm="1">
        <f t="array" ref="J3">IF(H1=8, J2, INDEX(Table26!$B$18:$I$26, B28, H1+1))</f>
        <v>5.1999999999999998E-2</v>
      </c>
    </row>
    <row r="4" spans="1:10" x14ac:dyDescent="0.25">
      <c r="A4" t="s">
        <v>3</v>
      </c>
      <c r="B4">
        <v>415</v>
      </c>
      <c r="H4">
        <f>E2</f>
        <v>3.173</v>
      </c>
      <c r="I4">
        <f>I2 + IFERROR((E2-H2)*(I3-I2)/(H3-H2), 0)</f>
        <v>6.8000000000000005E-2</v>
      </c>
      <c r="J4">
        <f>J2 + IFERROR((E2-H2)*(J3-J2)/(H3-H2), 0)</f>
        <v>5.1999999999999998E-2</v>
      </c>
    </row>
    <row r="5" spans="1:10" x14ac:dyDescent="0.25">
      <c r="A5" s="1" t="s">
        <v>9</v>
      </c>
    </row>
    <row r="6" spans="1:10" x14ac:dyDescent="0.25">
      <c r="A6" t="s">
        <v>4</v>
      </c>
      <c r="B6">
        <v>100</v>
      </c>
    </row>
    <row r="7" spans="1:10" x14ac:dyDescent="0.25">
      <c r="A7" t="s">
        <v>5</v>
      </c>
      <c r="B7">
        <v>15</v>
      </c>
    </row>
    <row r="8" spans="1:10" x14ac:dyDescent="0.25">
      <c r="A8" t="s">
        <v>6</v>
      </c>
      <c r="B8">
        <v>6</v>
      </c>
    </row>
    <row r="9" spans="1:10" x14ac:dyDescent="0.25">
      <c r="A9" t="s">
        <v>7</v>
      </c>
      <c r="B9">
        <v>2</v>
      </c>
    </row>
    <row r="10" spans="1:10" x14ac:dyDescent="0.25">
      <c r="A10" t="s">
        <v>8</v>
      </c>
      <c r="B10">
        <v>1</v>
      </c>
    </row>
    <row r="13" spans="1:10" x14ac:dyDescent="0.25">
      <c r="A13" t="s">
        <v>10</v>
      </c>
      <c r="B13">
        <f>B6-B7-(B8/2)</f>
        <v>82</v>
      </c>
    </row>
    <row r="14" spans="1:10" x14ac:dyDescent="0.25">
      <c r="A14" t="s">
        <v>11</v>
      </c>
      <c r="B14">
        <f>B6-B7-B8-(B8/2)</f>
        <v>76</v>
      </c>
    </row>
    <row r="15" spans="1:10" x14ac:dyDescent="0.25">
      <c r="A15" t="s">
        <v>12</v>
      </c>
      <c r="B15">
        <f>25*(B6/1000)</f>
        <v>2.5</v>
      </c>
    </row>
    <row r="16" spans="1:10" x14ac:dyDescent="0.25">
      <c r="A16" t="s">
        <v>13</v>
      </c>
      <c r="B16">
        <f>1.5*(B9+B10+B15)</f>
        <v>8.25</v>
      </c>
    </row>
    <row r="20" spans="1:5" x14ac:dyDescent="0.25">
      <c r="B20" t="s">
        <v>14</v>
      </c>
      <c r="C20">
        <f>MAX(E29:E32)</f>
        <v>0.56100000000000005</v>
      </c>
    </row>
    <row r="22" spans="1:5" x14ac:dyDescent="0.25">
      <c r="B22" t="s">
        <v>15</v>
      </c>
      <c r="C22">
        <f>(0.5*B3/B4)*(1-SQRT(1-(4.6*C20*10^6)/(B3*1000*B13^2)))*1000*B13</f>
        <v>19.050105161786941</v>
      </c>
    </row>
    <row r="23" spans="1:5" x14ac:dyDescent="0.25">
      <c r="B23" t="s">
        <v>16</v>
      </c>
      <c r="C23">
        <f>(0.12/100)*1000*B6</f>
        <v>120</v>
      </c>
    </row>
    <row r="24" spans="1:5" x14ac:dyDescent="0.25">
      <c r="B24" t="s">
        <v>17</v>
      </c>
      <c r="C24">
        <f>MAX(C22, C23)</f>
        <v>120</v>
      </c>
    </row>
    <row r="28" spans="1:5" x14ac:dyDescent="0.25">
      <c r="A28" s="4" t="s">
        <v>25</v>
      </c>
      <c r="B28" s="6">
        <v>2</v>
      </c>
      <c r="D28" s="1"/>
    </row>
    <row r="29" spans="1:5" x14ac:dyDescent="0.25">
      <c r="A29" s="3" t="s">
        <v>28</v>
      </c>
      <c r="B29" s="5">
        <f>I4</f>
        <v>6.8000000000000005E-2</v>
      </c>
      <c r="D29" s="2" t="s">
        <v>32</v>
      </c>
      <c r="E29" s="7">
        <f>B29 * B16 * (B1/1000)^2</f>
        <v>0.56100000000000005</v>
      </c>
    </row>
    <row r="30" spans="1:5" x14ac:dyDescent="0.25">
      <c r="A30" s="3" t="s">
        <v>29</v>
      </c>
      <c r="B30" s="5">
        <f>J4</f>
        <v>5.1999999999999998E-2</v>
      </c>
      <c r="D30" s="2" t="s">
        <v>33</v>
      </c>
      <c r="E30" s="7">
        <f>B30 * B16 * (B1/1000)^2</f>
        <v>0.42899999999999999</v>
      </c>
    </row>
    <row r="31" spans="1:5" x14ac:dyDescent="0.25">
      <c r="A31" s="3" t="s">
        <v>30</v>
      </c>
      <c r="B31" s="5" cm="1">
        <f t="array" ref="B31">INDEX(Table26!$B$31:$B$39, B28)</f>
        <v>3.6999999999999998E-2</v>
      </c>
      <c r="D31" s="2" t="s">
        <v>34</v>
      </c>
      <c r="E31" s="7">
        <f>B31 * B16 * (B1/1000)^2</f>
        <v>0.30524999999999997</v>
      </c>
    </row>
    <row r="32" spans="1:5" x14ac:dyDescent="0.25">
      <c r="A32" s="3" t="s">
        <v>31</v>
      </c>
      <c r="B32" s="5" cm="1">
        <f t="array" ref="B32">INDEX(Table26!$C$31:$C$39, B28)</f>
        <v>2.8000000000000001E-2</v>
      </c>
      <c r="D32" s="2" t="s">
        <v>35</v>
      </c>
      <c r="E32" s="7">
        <f>B32 * B16 * (B1/1000)^2</f>
        <v>0.23100000000000001</v>
      </c>
    </row>
    <row r="34" spans="1:5" x14ac:dyDescent="0.25">
      <c r="D34" s="1" t="s">
        <v>36</v>
      </c>
    </row>
    <row r="35" spans="1:5" x14ac:dyDescent="0.25">
      <c r="D35" s="8" t="s">
        <v>37</v>
      </c>
      <c r="E35" s="8">
        <f>SQRT((C20 * 10^6) / (0.1336 * 1000 * B3))</f>
        <v>14.489827114923052</v>
      </c>
    </row>
    <row r="36" spans="1:5" x14ac:dyDescent="0.25">
      <c r="D36" s="9" t="s">
        <v>38</v>
      </c>
      <c r="E36" s="10" t="str">
        <f>IF(E35 &lt; B6, "SAFE IN BENDING", "UNSAFE - INCREASE OVERALL DEPTH")</f>
        <v>SAFE IN BENDING</v>
      </c>
    </row>
    <row r="39" spans="1:5" x14ac:dyDescent="0.25">
      <c r="A39" s="12" t="s">
        <v>39</v>
      </c>
      <c r="B39" s="13"/>
      <c r="C39" s="13"/>
      <c r="D39" s="12" t="s">
        <v>47</v>
      </c>
      <c r="E39" s="13"/>
    </row>
    <row r="40" spans="1:5" ht="15.75" x14ac:dyDescent="0.25">
      <c r="A40" s="14" t="s">
        <v>41</v>
      </c>
      <c r="B40" s="13"/>
      <c r="C40" s="13"/>
      <c r="D40" s="14" t="s">
        <v>48</v>
      </c>
      <c r="E40" s="13"/>
    </row>
    <row r="41" spans="1:5" x14ac:dyDescent="0.25">
      <c r="A41" s="13" t="s">
        <v>40</v>
      </c>
      <c r="B41" s="13">
        <f>(0.5 * B3 / B4) * (1 - SQRT(1 - ((4.6 * E30 * 10^6) / (B3 * 1000 * B13^2)))) * 1000 * B13</f>
        <v>14.55108122552638</v>
      </c>
      <c r="C41" s="13"/>
      <c r="D41" s="13" t="s">
        <v>40</v>
      </c>
      <c r="E41" s="13">
        <f>(0.5 * B3 / B4) * (1 - SQRT(1 - ((4.6 * E32 * 10^6) / (B3 * 1000 * B14^2)))) * 1000 * B14</f>
        <v>8.4420962295295361</v>
      </c>
    </row>
    <row r="42" spans="1:5" x14ac:dyDescent="0.25">
      <c r="A42" s="13" t="s">
        <v>45</v>
      </c>
      <c r="B42" s="13">
        <f>1.2 * B6</f>
        <v>120</v>
      </c>
      <c r="C42" s="13"/>
      <c r="D42" s="13" t="s">
        <v>45</v>
      </c>
      <c r="E42" s="13">
        <f>1.2 * B6</f>
        <v>120</v>
      </c>
    </row>
    <row r="43" spans="1:5" x14ac:dyDescent="0.25">
      <c r="A43" s="13" t="s">
        <v>42</v>
      </c>
      <c r="B43" s="13">
        <f>MAX(B41, B42)</f>
        <v>120</v>
      </c>
      <c r="C43" s="13"/>
      <c r="D43" s="13" t="s">
        <v>42</v>
      </c>
      <c r="E43" s="13">
        <f>MAX(E41, E42)</f>
        <v>120</v>
      </c>
    </row>
    <row r="44" spans="1:5" x14ac:dyDescent="0.25">
      <c r="A44" s="12" t="s">
        <v>43</v>
      </c>
      <c r="B44" s="13"/>
      <c r="C44" s="13"/>
      <c r="D44" s="12" t="s">
        <v>43</v>
      </c>
      <c r="E44" s="13"/>
    </row>
    <row r="45" spans="1:5" x14ac:dyDescent="0.25">
      <c r="A45" s="13" t="s">
        <v>44</v>
      </c>
      <c r="B45" s="13">
        <f>3*B13</f>
        <v>246</v>
      </c>
      <c r="C45" s="13"/>
      <c r="D45" s="13" t="s">
        <v>44</v>
      </c>
      <c r="E45" s="13">
        <f>3*B14</f>
        <v>228</v>
      </c>
    </row>
    <row r="46" spans="1:5" x14ac:dyDescent="0.25">
      <c r="A46" s="13"/>
      <c r="B46" s="13"/>
      <c r="C46" s="13"/>
      <c r="D46" s="13"/>
      <c r="E46" s="13"/>
    </row>
    <row r="47" spans="1:5" x14ac:dyDescent="0.25">
      <c r="A47" s="12" t="s">
        <v>39</v>
      </c>
      <c r="B47" s="13"/>
      <c r="C47" s="13"/>
      <c r="D47" s="12" t="s">
        <v>47</v>
      </c>
      <c r="E47" s="13"/>
    </row>
    <row r="48" spans="1:5" ht="15.75" x14ac:dyDescent="0.25">
      <c r="A48" s="14" t="s">
        <v>46</v>
      </c>
      <c r="B48" s="13"/>
      <c r="C48" s="13"/>
      <c r="D48" s="14" t="s">
        <v>49</v>
      </c>
      <c r="E48" s="13"/>
    </row>
    <row r="49" spans="1:6" x14ac:dyDescent="0.25">
      <c r="A49" s="13" t="s">
        <v>40</v>
      </c>
      <c r="B49" s="13">
        <f>(0.5 * B3 / B4) * (1 - SQRT(1 - ((4.6 * E29 * 10^6) / (B3 * 1000 * B13^2)))) * 1000 * B13</f>
        <v>19.050105161786941</v>
      </c>
      <c r="C49" s="13"/>
      <c r="D49" s="13" t="s">
        <v>40</v>
      </c>
      <c r="E49" s="13">
        <f>(0.5 * B3 / B4) * (1 - SQRT(1 - ((4.6 * E31 * 10^6) / (B3 * 1000 * B14^2)))) * 1000 * B14</f>
        <v>11.163942651289187</v>
      </c>
    </row>
    <row r="50" spans="1:6" x14ac:dyDescent="0.25">
      <c r="A50" s="13" t="s">
        <v>45</v>
      </c>
      <c r="B50" s="13">
        <f>1.2 * B6</f>
        <v>120</v>
      </c>
      <c r="C50" s="13"/>
      <c r="D50" s="13" t="s">
        <v>45</v>
      </c>
      <c r="E50" s="13">
        <f>1.2 * B6</f>
        <v>120</v>
      </c>
    </row>
    <row r="51" spans="1:6" x14ac:dyDescent="0.25">
      <c r="A51" s="13" t="s">
        <v>42</v>
      </c>
      <c r="B51" s="13">
        <f>MAX(B49, B50)</f>
        <v>120</v>
      </c>
      <c r="C51" s="13"/>
      <c r="D51" s="13" t="s">
        <v>42</v>
      </c>
      <c r="E51" s="13">
        <f>MAX(E49, E50)</f>
        <v>120</v>
      </c>
    </row>
    <row r="52" spans="1:6" x14ac:dyDescent="0.25">
      <c r="A52" s="12" t="s">
        <v>43</v>
      </c>
      <c r="B52" s="13"/>
      <c r="C52" s="13"/>
      <c r="D52" s="12" t="s">
        <v>43</v>
      </c>
      <c r="E52" s="13"/>
      <c r="F52" s="11"/>
    </row>
    <row r="53" spans="1:6" x14ac:dyDescent="0.25">
      <c r="A53" s="13" t="s">
        <v>44</v>
      </c>
      <c r="B53" s="13">
        <f>3*B13</f>
        <v>246</v>
      </c>
      <c r="C53" s="13"/>
      <c r="D53" s="13" t="s">
        <v>44</v>
      </c>
      <c r="E53" s="13">
        <f>3*B14</f>
        <v>228</v>
      </c>
    </row>
    <row r="56" spans="1:6" x14ac:dyDescent="0.25">
      <c r="A56" s="1" t="s">
        <v>50</v>
      </c>
    </row>
    <row r="57" spans="1:6" x14ac:dyDescent="0.25">
      <c r="A57" t="s">
        <v>51</v>
      </c>
      <c r="B57" t="str">
        <f>IF(240 &lt; B45, "240", "243")</f>
        <v>240</v>
      </c>
    </row>
    <row r="58" spans="1:6" x14ac:dyDescent="0.25">
      <c r="A58" t="s">
        <v>52</v>
      </c>
      <c r="B58">
        <f>(1000/B57) * (PI()/4 * B8^2)</f>
        <v>117.80972450961725</v>
      </c>
    </row>
    <row r="59" spans="1:6" x14ac:dyDescent="0.25">
      <c r="A59" t="s">
        <v>53</v>
      </c>
      <c r="B59">
        <f>(B58 * 100) / (1000 * B13)</f>
        <v>0.14367039574343568</v>
      </c>
    </row>
    <row r="60" spans="1:6" x14ac:dyDescent="0.25">
      <c r="A60" t="s">
        <v>54</v>
      </c>
      <c r="B60">
        <f>0.58 * C24 * (B4 / B58)</f>
        <v>245.1750067342029</v>
      </c>
    </row>
    <row r="61" spans="1:6" ht="15.75" x14ac:dyDescent="0.3">
      <c r="A61" t="s">
        <v>55</v>
      </c>
      <c r="B61" s="15">
        <f>MIN(2, 1 / (0.225 + (0.0032 * B60) + (0.625 *LOG10(B59))))</f>
        <v>2</v>
      </c>
    </row>
    <row r="62" spans="1:6" x14ac:dyDescent="0.25">
      <c r="A62" t="s">
        <v>56</v>
      </c>
      <c r="B62">
        <f>40</f>
        <v>40</v>
      </c>
    </row>
    <row r="63" spans="1:6" x14ac:dyDescent="0.25">
      <c r="A63" t="s">
        <v>37</v>
      </c>
      <c r="B63">
        <f>B1 / (B62 * B61)</f>
        <v>12.5</v>
      </c>
    </row>
    <row r="64" spans="1:6" x14ac:dyDescent="0.25">
      <c r="A64" t="s">
        <v>38</v>
      </c>
      <c r="B64" s="16" t="str">
        <f>IF(B63 &lt;= B6, "SAFE IN DEFLECTION", "UNSAFE - INCREASE DEPTH")</f>
        <v>SAFE IN DEFLECTION</v>
      </c>
    </row>
  </sheetData>
  <conditionalFormatting sqref="D29:D32">
    <cfRule type="colorScale" priority="2">
      <colorScale>
        <cfvo type="min"/>
        <cfvo type="max"/>
        <color rgb="FFFFFF00"/>
        <color rgb="FFFFFF00"/>
      </colorScale>
    </cfRule>
  </conditionalFormatting>
  <conditionalFormatting sqref="D29:E32">
    <cfRule type="colorScale" priority="3">
      <colorScale>
        <cfvo type="min"/>
        <cfvo type="max"/>
        <color rgb="FFFFFF00"/>
        <color rgb="FFFFFF00"/>
      </colorScale>
    </cfRule>
    <cfRule type="cellIs" dxfId="6" priority="4" operator="equal">
      <formula>2.223489799</formula>
    </cfRule>
    <cfRule type="cellIs" dxfId="5" priority="5" operator="equal">
      <formula>0</formula>
    </cfRule>
    <cfRule type="cellIs" dxfId="4" priority="6" operator="equal">
      <formula>0</formula>
    </cfRule>
    <cfRule type="cellIs" dxfId="3" priority="7" operator="equal">
      <formula>2.223489799</formula>
    </cfRule>
  </conditionalFormatting>
  <conditionalFormatting sqref="E3">
    <cfRule type="cellIs" dxfId="2" priority="9" operator="equal">
      <formula>"One-Way Slab"</formula>
    </cfRule>
    <cfRule type="cellIs" dxfId="1" priority="10" operator="equal">
      <formula>"Two-Way Slab"</formula>
    </cfRule>
  </conditionalFormatting>
  <conditionalFormatting sqref="E36">
    <cfRule type="cellIs" dxfId="0" priority="1" operator="equal">
      <formula>"UNSAFE - INCREASE OVERALL DEPTH"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9447-C94C-47DB-A376-D958B0EA837A}">
  <dimension ref="A1:I39"/>
  <sheetViews>
    <sheetView topLeftCell="A18" zoomScale="85" zoomScaleNormal="85" workbookViewId="0">
      <selection sqref="A1:I42"/>
    </sheetView>
  </sheetViews>
  <sheetFormatPr defaultRowHeight="15" x14ac:dyDescent="0.25"/>
  <cols>
    <col min="1" max="1" width="101.42578125" customWidth="1"/>
    <col min="2" max="2" width="17.140625" customWidth="1"/>
    <col min="3" max="3" width="15.28515625" customWidth="1"/>
  </cols>
  <sheetData>
    <row r="1" spans="1:9" x14ac:dyDescent="0.25">
      <c r="A1" s="1" t="s">
        <v>18</v>
      </c>
    </row>
    <row r="2" spans="1:9" x14ac:dyDescent="0.25">
      <c r="A2" t="s">
        <v>19</v>
      </c>
    </row>
    <row r="4" spans="1:9" x14ac:dyDescent="0.25">
      <c r="A4" s="1" t="s">
        <v>21</v>
      </c>
    </row>
    <row r="5" spans="1:9" x14ac:dyDescent="0.25">
      <c r="A5" s="1" t="s">
        <v>20</v>
      </c>
      <c r="B5">
        <v>1</v>
      </c>
      <c r="C5">
        <v>1.1000000000000001</v>
      </c>
      <c r="D5">
        <v>1.2</v>
      </c>
      <c r="E5">
        <v>1.3</v>
      </c>
      <c r="F5">
        <v>1.4</v>
      </c>
      <c r="G5">
        <v>1.5</v>
      </c>
      <c r="H5">
        <v>1.75</v>
      </c>
      <c r="I5">
        <v>2</v>
      </c>
    </row>
    <row r="6" spans="1:9" x14ac:dyDescent="0.25">
      <c r="A6">
        <v>1</v>
      </c>
      <c r="B6">
        <v>3.2000000000000001E-2</v>
      </c>
      <c r="C6">
        <v>3.6999999999999998E-2</v>
      </c>
      <c r="D6">
        <v>4.2999999999999997E-2</v>
      </c>
      <c r="E6">
        <v>4.7E-2</v>
      </c>
      <c r="F6">
        <v>5.0999999999999997E-2</v>
      </c>
      <c r="G6">
        <v>5.2999999999999999E-2</v>
      </c>
      <c r="H6">
        <v>0.06</v>
      </c>
      <c r="I6">
        <v>6.5000000000000002E-2</v>
      </c>
    </row>
    <row r="7" spans="1:9" x14ac:dyDescent="0.25">
      <c r="A7">
        <v>2</v>
      </c>
      <c r="B7">
        <v>3.6999999999999998E-2</v>
      </c>
      <c r="C7">
        <v>4.2999999999999997E-2</v>
      </c>
      <c r="D7">
        <v>4.8000000000000001E-2</v>
      </c>
      <c r="E7">
        <v>5.0999999999999997E-2</v>
      </c>
      <c r="F7">
        <v>5.5E-2</v>
      </c>
      <c r="G7">
        <v>5.7000000000000002E-2</v>
      </c>
      <c r="H7">
        <v>6.4000000000000001E-2</v>
      </c>
      <c r="I7">
        <v>6.8000000000000005E-2</v>
      </c>
    </row>
    <row r="8" spans="1:9" x14ac:dyDescent="0.25">
      <c r="A8">
        <v>3</v>
      </c>
      <c r="B8">
        <v>3.6999999999999998E-2</v>
      </c>
      <c r="C8">
        <v>4.3999999999999997E-2</v>
      </c>
      <c r="D8">
        <v>5.1999999999999998E-2</v>
      </c>
      <c r="E8">
        <v>5.7000000000000002E-2</v>
      </c>
      <c r="F8">
        <v>6.3E-2</v>
      </c>
      <c r="G8">
        <v>6.7000000000000004E-2</v>
      </c>
      <c r="H8">
        <v>7.6999999999999999E-2</v>
      </c>
      <c r="I8">
        <v>8.5000000000000006E-2</v>
      </c>
    </row>
    <row r="9" spans="1:9" x14ac:dyDescent="0.25">
      <c r="A9">
        <v>4</v>
      </c>
      <c r="B9">
        <v>4.7E-2</v>
      </c>
      <c r="C9">
        <v>5.2999999999999999E-2</v>
      </c>
      <c r="D9">
        <v>0.06</v>
      </c>
      <c r="E9">
        <v>6.5000000000000002E-2</v>
      </c>
      <c r="F9">
        <v>7.0999999999999994E-2</v>
      </c>
      <c r="G9">
        <v>7.4999999999999997E-2</v>
      </c>
      <c r="H9">
        <v>8.4000000000000005E-2</v>
      </c>
      <c r="I9">
        <v>9.0999999999999998E-2</v>
      </c>
    </row>
    <row r="10" spans="1:9" x14ac:dyDescent="0.25">
      <c r="A10">
        <v>5</v>
      </c>
      <c r="B10">
        <v>4.4999999999999998E-2</v>
      </c>
      <c r="C10">
        <v>4.9000000000000002E-2</v>
      </c>
      <c r="D10">
        <v>5.1999999999999998E-2</v>
      </c>
      <c r="E10">
        <v>5.6000000000000001E-2</v>
      </c>
      <c r="F10">
        <v>5.8999999999999997E-2</v>
      </c>
      <c r="G10">
        <v>0.06</v>
      </c>
      <c r="H10">
        <v>6.5000000000000002E-2</v>
      </c>
      <c r="I10">
        <v>6.9000000000000006E-2</v>
      </c>
    </row>
    <row r="11" spans="1:9" x14ac:dyDescent="0.25">
      <c r="A11">
        <v>6</v>
      </c>
    </row>
    <row r="12" spans="1:9" x14ac:dyDescent="0.25">
      <c r="A12">
        <v>7</v>
      </c>
      <c r="B12">
        <v>5.7000000000000002E-2</v>
      </c>
      <c r="C12">
        <v>6.4000000000000001E-2</v>
      </c>
      <c r="D12">
        <v>7.0999999999999994E-2</v>
      </c>
      <c r="E12">
        <v>7.5999999999999998E-2</v>
      </c>
      <c r="F12">
        <v>0.08</v>
      </c>
      <c r="G12">
        <v>8.4000000000000005E-2</v>
      </c>
      <c r="H12">
        <v>9.0999999999999998E-2</v>
      </c>
      <c r="I12">
        <v>9.7000000000000003E-2</v>
      </c>
    </row>
    <row r="13" spans="1:9" x14ac:dyDescent="0.25">
      <c r="A13">
        <v>8</v>
      </c>
    </row>
    <row r="14" spans="1:9" x14ac:dyDescent="0.25">
      <c r="A14">
        <v>9</v>
      </c>
    </row>
    <row r="16" spans="1:9" x14ac:dyDescent="0.25">
      <c r="A16" s="1" t="s">
        <v>22</v>
      </c>
    </row>
    <row r="17" spans="1:9" x14ac:dyDescent="0.25">
      <c r="A17" s="1" t="s">
        <v>20</v>
      </c>
      <c r="B17">
        <v>1</v>
      </c>
      <c r="C17">
        <v>1.1000000000000001</v>
      </c>
      <c r="D17">
        <v>1.2</v>
      </c>
      <c r="E17">
        <v>1.3</v>
      </c>
      <c r="F17">
        <v>1.4</v>
      </c>
      <c r="G17">
        <v>1.5</v>
      </c>
      <c r="H17">
        <v>1.75</v>
      </c>
      <c r="I17">
        <v>2</v>
      </c>
    </row>
    <row r="18" spans="1:9" x14ac:dyDescent="0.25">
      <c r="A18">
        <v>1</v>
      </c>
      <c r="B18">
        <v>2.4E-2</v>
      </c>
      <c r="C18">
        <v>2.8000000000000001E-2</v>
      </c>
      <c r="D18">
        <v>3.2000000000000001E-2</v>
      </c>
      <c r="E18">
        <v>3.5999999999999997E-2</v>
      </c>
      <c r="F18">
        <v>3.9E-2</v>
      </c>
      <c r="G18">
        <v>4.1000000000000002E-2</v>
      </c>
      <c r="H18">
        <v>4.4999999999999998E-2</v>
      </c>
      <c r="I18">
        <v>4.9000000000000002E-2</v>
      </c>
    </row>
    <row r="19" spans="1:9" x14ac:dyDescent="0.25">
      <c r="A19">
        <v>2</v>
      </c>
      <c r="B19">
        <v>2.8000000000000001E-2</v>
      </c>
      <c r="C19">
        <v>3.2000000000000001E-2</v>
      </c>
      <c r="D19">
        <v>3.5999999999999997E-2</v>
      </c>
      <c r="E19">
        <v>3.9E-2</v>
      </c>
      <c r="F19">
        <v>4.1000000000000002E-2</v>
      </c>
      <c r="G19">
        <v>4.3999999999999997E-2</v>
      </c>
      <c r="H19">
        <v>4.8000000000000001E-2</v>
      </c>
      <c r="I19">
        <v>5.1999999999999998E-2</v>
      </c>
    </row>
    <row r="20" spans="1:9" x14ac:dyDescent="0.25">
      <c r="A20">
        <v>3</v>
      </c>
      <c r="B20">
        <v>2.8000000000000001E-2</v>
      </c>
      <c r="C20">
        <v>3.3000000000000002E-2</v>
      </c>
      <c r="D20">
        <v>3.9E-2</v>
      </c>
      <c r="E20">
        <v>4.3999999999999997E-2</v>
      </c>
      <c r="F20">
        <v>4.7E-2</v>
      </c>
      <c r="G20">
        <v>5.0999999999999997E-2</v>
      </c>
      <c r="H20">
        <v>5.8999999999999997E-2</v>
      </c>
      <c r="I20">
        <v>6.5000000000000002E-2</v>
      </c>
    </row>
    <row r="21" spans="1:9" x14ac:dyDescent="0.25">
      <c r="A21">
        <v>4</v>
      </c>
      <c r="B21">
        <v>3.5000000000000003E-2</v>
      </c>
      <c r="C21">
        <v>0.04</v>
      </c>
      <c r="D21">
        <v>4.4999999999999998E-2</v>
      </c>
      <c r="E21">
        <v>4.9000000000000002E-2</v>
      </c>
      <c r="F21">
        <v>5.2999999999999999E-2</v>
      </c>
      <c r="G21">
        <v>5.6000000000000001E-2</v>
      </c>
      <c r="H21">
        <v>6.3E-2</v>
      </c>
      <c r="I21">
        <v>6.9000000000000006E-2</v>
      </c>
    </row>
    <row r="22" spans="1:9" x14ac:dyDescent="0.25">
      <c r="A22">
        <v>5</v>
      </c>
      <c r="B22">
        <v>3.5000000000000003E-2</v>
      </c>
      <c r="C22">
        <v>3.6999999999999998E-2</v>
      </c>
      <c r="D22">
        <v>0.04</v>
      </c>
      <c r="E22">
        <v>4.2999999999999997E-2</v>
      </c>
      <c r="F22">
        <v>4.3999999999999997E-2</v>
      </c>
      <c r="G22">
        <v>4.4999999999999998E-2</v>
      </c>
      <c r="H22">
        <v>4.9000000000000002E-2</v>
      </c>
      <c r="I22">
        <v>5.1999999999999998E-2</v>
      </c>
    </row>
    <row r="23" spans="1:9" x14ac:dyDescent="0.25">
      <c r="A23">
        <v>6</v>
      </c>
      <c r="B23">
        <v>3.5000000000000003E-2</v>
      </c>
      <c r="C23">
        <v>4.2999999999999997E-2</v>
      </c>
      <c r="D23">
        <v>5.0999999999999997E-2</v>
      </c>
      <c r="E23">
        <v>5.7000000000000002E-2</v>
      </c>
      <c r="F23">
        <v>6.3E-2</v>
      </c>
      <c r="G23">
        <v>6.8000000000000005E-2</v>
      </c>
      <c r="H23">
        <v>0.08</v>
      </c>
      <c r="I23">
        <v>8.7999999999999995E-2</v>
      </c>
    </row>
    <row r="24" spans="1:9" x14ac:dyDescent="0.25">
      <c r="A24">
        <v>7</v>
      </c>
      <c r="B24">
        <v>4.2999999999999997E-2</v>
      </c>
      <c r="C24">
        <v>4.8000000000000001E-2</v>
      </c>
      <c r="D24">
        <v>5.2999999999999999E-2</v>
      </c>
      <c r="E24">
        <v>5.7000000000000002E-2</v>
      </c>
      <c r="F24">
        <v>0.06</v>
      </c>
      <c r="G24">
        <v>6.4000000000000001E-2</v>
      </c>
      <c r="H24">
        <v>6.9000000000000006E-2</v>
      </c>
      <c r="I24">
        <v>7.2999999999999995E-2</v>
      </c>
    </row>
    <row r="25" spans="1:9" x14ac:dyDescent="0.25">
      <c r="A25">
        <v>8</v>
      </c>
      <c r="B25">
        <v>4.2999999999999997E-2</v>
      </c>
      <c r="C25">
        <v>5.0999999999999997E-2</v>
      </c>
      <c r="D25">
        <v>5.8999999999999997E-2</v>
      </c>
      <c r="E25">
        <v>6.5000000000000002E-2</v>
      </c>
      <c r="F25">
        <v>7.0999999999999994E-2</v>
      </c>
      <c r="G25">
        <v>7.5999999999999998E-2</v>
      </c>
      <c r="H25">
        <v>8.6999999999999994E-2</v>
      </c>
      <c r="I25">
        <v>9.6000000000000002E-2</v>
      </c>
    </row>
    <row r="26" spans="1:9" x14ac:dyDescent="0.25">
      <c r="A26">
        <v>9</v>
      </c>
      <c r="B26">
        <v>5.6000000000000001E-2</v>
      </c>
      <c r="C26">
        <v>6.4000000000000001E-2</v>
      </c>
      <c r="D26">
        <v>7.1999999999999995E-2</v>
      </c>
      <c r="E26">
        <v>7.9000000000000001E-2</v>
      </c>
      <c r="F26">
        <v>8.5000000000000006E-2</v>
      </c>
      <c r="G26">
        <v>8.8999999999999996E-2</v>
      </c>
      <c r="H26">
        <v>0.1</v>
      </c>
      <c r="I26">
        <v>0.107</v>
      </c>
    </row>
    <row r="30" spans="1:9" x14ac:dyDescent="0.25">
      <c r="A30" s="1" t="s">
        <v>20</v>
      </c>
      <c r="B30" s="1" t="s">
        <v>23</v>
      </c>
      <c r="C30" s="1" t="s">
        <v>24</v>
      </c>
    </row>
    <row r="31" spans="1:9" x14ac:dyDescent="0.25">
      <c r="A31">
        <v>1</v>
      </c>
      <c r="B31">
        <v>3.2000000000000001E-2</v>
      </c>
      <c r="C31">
        <v>2.4E-2</v>
      </c>
    </row>
    <row r="32" spans="1:9" x14ac:dyDescent="0.25">
      <c r="A32">
        <v>2</v>
      </c>
      <c r="B32">
        <v>3.6999999999999998E-2</v>
      </c>
      <c r="C32">
        <v>2.8000000000000001E-2</v>
      </c>
    </row>
    <row r="33" spans="1:3" x14ac:dyDescent="0.25">
      <c r="A33">
        <v>3</v>
      </c>
      <c r="B33">
        <v>3.6999999999999998E-2</v>
      </c>
      <c r="C33">
        <v>2.8000000000000001E-2</v>
      </c>
    </row>
    <row r="34" spans="1:3" x14ac:dyDescent="0.25">
      <c r="A34">
        <v>4</v>
      </c>
      <c r="B34">
        <v>4.7E-2</v>
      </c>
      <c r="C34">
        <v>3.5000000000000003E-2</v>
      </c>
    </row>
    <row r="35" spans="1:3" x14ac:dyDescent="0.25">
      <c r="A35">
        <v>5</v>
      </c>
      <c r="C35">
        <v>3.5000000000000003E-2</v>
      </c>
    </row>
    <row r="36" spans="1:3" x14ac:dyDescent="0.25">
      <c r="A36">
        <v>6</v>
      </c>
      <c r="B36">
        <v>4.4999999999999998E-2</v>
      </c>
      <c r="C36">
        <v>3.5000000000000003E-2</v>
      </c>
    </row>
    <row r="37" spans="1:3" x14ac:dyDescent="0.25">
      <c r="A37">
        <v>7</v>
      </c>
      <c r="C37">
        <v>4.2999999999999997E-2</v>
      </c>
    </row>
    <row r="38" spans="1:3" x14ac:dyDescent="0.25">
      <c r="A38">
        <v>8</v>
      </c>
      <c r="B38">
        <v>5.7000000000000002E-2</v>
      </c>
      <c r="C38">
        <v>4.2999999999999997E-2</v>
      </c>
    </row>
    <row r="39" spans="1:3" x14ac:dyDescent="0.25">
      <c r="A39">
        <v>9</v>
      </c>
      <c r="C39">
        <v>5.6000000000000001E-2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 RAHMAN</dc:creator>
  <cp:lastModifiedBy>SA RAHMAN</cp:lastModifiedBy>
  <dcterms:created xsi:type="dcterms:W3CDTF">2026-03-09T00:46:25Z</dcterms:created>
  <dcterms:modified xsi:type="dcterms:W3CDTF">2026-10-01T08:43:15Z</dcterms:modified>
</cp:coreProperties>
</file>