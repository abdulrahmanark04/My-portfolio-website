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G\CLG PRO\EXCEL Sheets\"/>
    </mc:Choice>
  </mc:AlternateContent>
  <xr:revisionPtr revIDLastSave="0" documentId="13_ncr:1_{45D74972-9F4B-466E-A73F-C7B6C44DE687}" xr6:coauthVersionLast="47" xr6:coauthVersionMax="47" xr10:uidLastSave="{00000000-0000-0000-0000-000000000000}"/>
  <bookViews>
    <workbookView xWindow="-120" yWindow="-120" windowWidth="29040" windowHeight="16440" xr2:uid="{D551C2D5-D590-4FCA-8E79-54B612F43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1" l="1"/>
  <c r="D79" i="1"/>
  <c r="D69" i="1"/>
  <c r="B69" i="1"/>
  <c r="B40" i="1"/>
  <c r="B81" i="1"/>
  <c r="B71" i="1"/>
  <c r="B64" i="1"/>
  <c r="B63" i="1"/>
  <c r="C29" i="1"/>
  <c r="K31" i="1"/>
  <c r="K30" i="1"/>
  <c r="K29" i="1"/>
  <c r="J29" i="1"/>
  <c r="I31" i="1"/>
  <c r="I30" i="1"/>
  <c r="I29" i="1"/>
  <c r="D29" i="1"/>
  <c r="E30" i="1" s="1"/>
  <c r="C34" i="1"/>
  <c r="C32" i="1"/>
  <c r="C35" i="1"/>
  <c r="C33" i="1"/>
  <c r="C31" i="1"/>
  <c r="C30" i="1"/>
  <c r="B24" i="1"/>
  <c r="E23" i="1" s="1"/>
  <c r="B23" i="1"/>
  <c r="B22" i="1"/>
  <c r="B21" i="1"/>
  <c r="E21" i="1" s="1"/>
  <c r="B16" i="1"/>
  <c r="B17" i="1"/>
  <c r="C16" i="1"/>
  <c r="C15" i="1"/>
  <c r="B15" i="1"/>
  <c r="B14" i="1"/>
  <c r="B13" i="1"/>
  <c r="C13" i="1"/>
  <c r="C12" i="1"/>
  <c r="E29" i="1" l="1"/>
  <c r="D34" i="1"/>
  <c r="E35" i="1" s="1"/>
  <c r="E22" i="1"/>
  <c r="C40" i="1"/>
  <c r="D31" i="1"/>
  <c r="E31" i="1" s="1"/>
  <c r="D40" i="1" l="1"/>
  <c r="E34" i="1"/>
  <c r="E33" i="1"/>
  <c r="E32" i="1"/>
  <c r="E40" i="1" l="1"/>
  <c r="H40" i="1" s="1"/>
  <c r="F40" i="1"/>
  <c r="I40" i="1" s="1"/>
  <c r="C41" i="1" s="1"/>
  <c r="B41" i="1" l="1"/>
  <c r="G40" i="1"/>
  <c r="E41" i="1" l="1"/>
  <c r="F41" i="1" l="1"/>
  <c r="H41" i="1"/>
  <c r="I41" i="1" s="1"/>
  <c r="G41" i="1"/>
  <c r="D41" i="1"/>
  <c r="B42" i="1" l="1"/>
  <c r="E42" i="1" s="1"/>
  <c r="G42" i="1" s="1"/>
  <c r="C42" i="1"/>
  <c r="D42" i="1" l="1"/>
  <c r="H42" i="1"/>
  <c r="F42" i="1"/>
  <c r="I42" i="1" l="1"/>
  <c r="C43" i="1" l="1"/>
  <c r="B43" i="1"/>
  <c r="D43" i="1" s="1"/>
  <c r="F43" i="1" l="1"/>
  <c r="E43" i="1"/>
  <c r="H43" i="1" s="1"/>
  <c r="G43" i="1" l="1"/>
  <c r="I43" i="1"/>
  <c r="C44" i="1" s="1"/>
  <c r="B44" i="1" l="1"/>
  <c r="D44" i="1" s="1"/>
  <c r="B50" i="1" s="1"/>
  <c r="E44" i="1" l="1"/>
  <c r="G44" i="1" s="1"/>
  <c r="B52" i="1" s="1"/>
  <c r="F44" i="1"/>
  <c r="B49" i="1"/>
  <c r="B73" i="1" s="1"/>
  <c r="B76" i="1" l="1"/>
  <c r="B75" i="1"/>
  <c r="B90" i="1" s="1"/>
  <c r="H44" i="1"/>
  <c r="I44" i="1" s="1"/>
  <c r="B59" i="1" s="1"/>
  <c r="B51" i="1"/>
  <c r="B83" i="1" s="1"/>
  <c r="B86" i="1" l="1"/>
  <c r="B92" i="1" s="1"/>
  <c r="B85" i="1"/>
  <c r="B91" i="1" s="1"/>
  <c r="B57" i="1"/>
  <c r="B54" i="1"/>
  <c r="H52" i="1" s="1"/>
  <c r="B55" i="1"/>
  <c r="B56" i="1"/>
  <c r="H53" i="1" s="1"/>
  <c r="B58" i="1"/>
  <c r="H54" i="1" s="1"/>
</calcChain>
</file>

<file path=xl/sharedStrings.xml><?xml version="1.0" encoding="utf-8"?>
<sst xmlns="http://schemas.openxmlformats.org/spreadsheetml/2006/main" count="107" uniqueCount="87">
  <si>
    <t>Given Data:</t>
  </si>
  <si>
    <t>Column Height:</t>
  </si>
  <si>
    <t>Span A1-B1:</t>
  </si>
  <si>
    <t>Span A1-B1 Load:</t>
  </si>
  <si>
    <t>Span B1-C1:</t>
  </si>
  <si>
    <t>Span B1-C1 Load:</t>
  </si>
  <si>
    <t>A1'</t>
  </si>
  <si>
    <t>A1</t>
  </si>
  <si>
    <t>B1</t>
  </si>
  <si>
    <t>B1'</t>
  </si>
  <si>
    <t xml:space="preserve">B1 </t>
  </si>
  <si>
    <t>C1</t>
  </si>
  <si>
    <t>C1'</t>
  </si>
  <si>
    <t>Fixed End Moments</t>
  </si>
  <si>
    <r>
      <t>MF</t>
    </r>
    <r>
      <rPr>
        <b/>
        <vertAlign val="subscript"/>
        <sz val="11"/>
        <color theme="1"/>
        <rFont val="Aptos Narrow"/>
        <family val="2"/>
        <scheme val="minor"/>
      </rPr>
      <t>A1B1</t>
    </r>
  </si>
  <si>
    <r>
      <t>MF</t>
    </r>
    <r>
      <rPr>
        <b/>
        <vertAlign val="subscript"/>
        <sz val="11"/>
        <color theme="1"/>
        <rFont val="Aptos Narrow"/>
        <family val="2"/>
        <scheme val="minor"/>
      </rPr>
      <t>B1A1</t>
    </r>
  </si>
  <si>
    <r>
      <t>MF</t>
    </r>
    <r>
      <rPr>
        <b/>
        <vertAlign val="subscript"/>
        <sz val="11"/>
        <color theme="1"/>
        <rFont val="Aptos Narrow"/>
        <family val="2"/>
        <scheme val="minor"/>
      </rPr>
      <t>B1C1</t>
    </r>
  </si>
  <si>
    <r>
      <t>MF</t>
    </r>
    <r>
      <rPr>
        <b/>
        <vertAlign val="subscript"/>
        <sz val="11"/>
        <color theme="1"/>
        <rFont val="Aptos Narrow"/>
        <family val="2"/>
        <scheme val="minor"/>
      </rPr>
      <t>C1B1</t>
    </r>
  </si>
  <si>
    <t>Rotation Factor</t>
  </si>
  <si>
    <t>Joint</t>
  </si>
  <si>
    <t>Member</t>
  </si>
  <si>
    <t>Stiffness (k)</t>
  </si>
  <si>
    <t>∑k</t>
  </si>
  <si>
    <t>R.F.</t>
  </si>
  <si>
    <t>A1B1</t>
  </si>
  <si>
    <t>A1A1'</t>
  </si>
  <si>
    <t>B1A1</t>
  </si>
  <si>
    <t>B1C1</t>
  </si>
  <si>
    <t>B1B1'</t>
  </si>
  <si>
    <t>C1B1</t>
  </si>
  <si>
    <t>C1C1'</t>
  </si>
  <si>
    <t>Displacement Factor</t>
  </si>
  <si>
    <r>
      <t>∑FEM</t>
    </r>
    <r>
      <rPr>
        <b/>
        <vertAlign val="subscript"/>
        <sz val="11"/>
        <color theme="1"/>
        <rFont val="Aptos Narrow"/>
        <family val="2"/>
        <scheme val="minor"/>
      </rPr>
      <t>A1</t>
    </r>
  </si>
  <si>
    <r>
      <t>∑FEM</t>
    </r>
    <r>
      <rPr>
        <b/>
        <vertAlign val="subscript"/>
        <sz val="11"/>
        <color theme="1"/>
        <rFont val="Aptos Narrow"/>
        <family val="2"/>
        <scheme val="minor"/>
      </rPr>
      <t>B1</t>
    </r>
  </si>
  <si>
    <r>
      <t>∑FEM</t>
    </r>
    <r>
      <rPr>
        <b/>
        <vertAlign val="subscript"/>
        <sz val="11"/>
        <color theme="1"/>
        <rFont val="Aptos Narrow"/>
        <family val="2"/>
        <scheme val="minor"/>
      </rPr>
      <t>C1</t>
    </r>
  </si>
  <si>
    <t>∑FEM:</t>
  </si>
  <si>
    <t>Cycle</t>
  </si>
  <si>
    <t>M' A1B1</t>
  </si>
  <si>
    <t>M' A1A1'</t>
  </si>
  <si>
    <t>M' B1A1</t>
  </si>
  <si>
    <t>M' B1C1</t>
  </si>
  <si>
    <t>M' B1B1'</t>
  </si>
  <si>
    <t>M' C1B1</t>
  </si>
  <si>
    <t>M' C1C1'</t>
  </si>
  <si>
    <t>M'' (Sway)</t>
  </si>
  <si>
    <t>Calculation Of Rotation Factor</t>
  </si>
  <si>
    <t>R.F. * (∑FEM+NCV+Displacement)</t>
  </si>
  <si>
    <t>Final End Moments</t>
  </si>
  <si>
    <t>Mij= FEM + 2*M'ij(Near End Rotation) + M'ji(Far End Rotation) + M''</t>
  </si>
  <si>
    <t>Beams (No Sway)</t>
  </si>
  <si>
    <t>Columns (With Sway M''=0.4247)</t>
  </si>
  <si>
    <t>Equillibrium Check</t>
  </si>
  <si>
    <t>Joint A:</t>
  </si>
  <si>
    <r>
      <t>M</t>
    </r>
    <r>
      <rPr>
        <vertAlign val="subscript"/>
        <sz val="11"/>
        <color theme="1"/>
        <rFont val="Aptos Narrow"/>
        <family val="2"/>
        <scheme val="minor"/>
      </rPr>
      <t xml:space="preserve">A1B1 + </t>
    </r>
    <r>
      <rPr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A1A1'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</si>
  <si>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 xml:space="preserve">B1A1 + </t>
    </r>
    <r>
      <rPr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B1C1 + MB1B1'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</si>
  <si>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 xml:space="preserve">C1B1 + </t>
    </r>
    <r>
      <rPr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C1C1'</t>
    </r>
  </si>
  <si>
    <t>Calculation of Bending Moment</t>
  </si>
  <si>
    <t>Calculation of Reactions</t>
  </si>
  <si>
    <t>SPAN A1-B1</t>
  </si>
  <si>
    <t>Length (L)</t>
  </si>
  <si>
    <t>UDL(W)</t>
  </si>
  <si>
    <t>Simply Support Reaction</t>
  </si>
  <si>
    <t>Reaction Due to End Moments</t>
  </si>
  <si>
    <r>
      <t>R</t>
    </r>
    <r>
      <rPr>
        <b/>
        <vertAlign val="subscript"/>
        <sz val="11"/>
        <color theme="1"/>
        <rFont val="Aptos Narrow"/>
        <family val="2"/>
        <scheme val="minor"/>
      </rPr>
      <t>moments</t>
    </r>
  </si>
  <si>
    <r>
      <t>R</t>
    </r>
    <r>
      <rPr>
        <b/>
        <vertAlign val="subscript"/>
        <sz val="11"/>
        <color theme="1"/>
        <rFont val="Aptos Narrow"/>
        <family val="2"/>
        <scheme val="minor"/>
      </rPr>
      <t>total</t>
    </r>
  </si>
  <si>
    <r>
      <t>BM</t>
    </r>
    <r>
      <rPr>
        <b/>
        <vertAlign val="subscript"/>
        <sz val="11"/>
        <color theme="1"/>
        <rFont val="Aptos Narrow"/>
        <family val="2"/>
        <scheme val="minor"/>
      </rPr>
      <t>A1B1</t>
    </r>
  </si>
  <si>
    <r>
      <t>BM</t>
    </r>
    <r>
      <rPr>
        <b/>
        <vertAlign val="subscript"/>
        <sz val="11"/>
        <color theme="1"/>
        <rFont val="Aptos Narrow"/>
        <family val="2"/>
        <scheme val="minor"/>
      </rPr>
      <t>B1C1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</si>
  <si>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A1A1'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</si>
  <si>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A1'A1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</si>
  <si>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B1B1'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</si>
  <si>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B1'B1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</si>
  <si>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C1C1'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</si>
  <si>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C1'C1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</si>
  <si>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A1B1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</si>
  <si>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B1A1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</si>
  <si>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B1C1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</si>
  <si>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C1B1</t>
    </r>
  </si>
  <si>
    <t xml:space="preserve">Final Reactions </t>
  </si>
  <si>
    <t>SPAN B2-B3</t>
  </si>
  <si>
    <t>Total Reactions</t>
  </si>
  <si>
    <r>
      <t>R</t>
    </r>
    <r>
      <rPr>
        <b/>
        <vertAlign val="subscript"/>
        <sz val="11"/>
        <color theme="1"/>
        <rFont val="Aptos Narrow"/>
        <family val="2"/>
        <scheme val="minor"/>
      </rPr>
      <t>A1</t>
    </r>
    <r>
      <rPr>
        <b/>
        <sz val="11"/>
        <color theme="1"/>
        <rFont val="Aptos Narrow"/>
        <family val="2"/>
        <scheme val="minor"/>
      </rPr>
      <t xml:space="preserve"> (R</t>
    </r>
    <r>
      <rPr>
        <b/>
        <vertAlign val="subscript"/>
        <sz val="11"/>
        <color theme="1"/>
        <rFont val="Aptos Narrow"/>
        <family val="2"/>
        <scheme val="minor"/>
      </rPr>
      <t>total</t>
    </r>
    <r>
      <rPr>
        <b/>
        <sz val="11"/>
        <color theme="1"/>
        <rFont val="Aptos Narrow"/>
        <family val="2"/>
        <scheme val="minor"/>
      </rPr>
      <t xml:space="preserve"> - R</t>
    </r>
    <r>
      <rPr>
        <b/>
        <vertAlign val="subscript"/>
        <sz val="11"/>
        <color theme="1"/>
        <rFont val="Aptos Narrow"/>
        <family val="2"/>
        <scheme val="minor"/>
      </rPr>
      <t>moment</t>
    </r>
    <r>
      <rPr>
        <b/>
        <sz val="11"/>
        <color theme="1"/>
        <rFont val="Aptos Narrow"/>
        <family val="2"/>
        <scheme val="minor"/>
      </rPr>
      <t>)</t>
    </r>
  </si>
  <si>
    <r>
      <t>R</t>
    </r>
    <r>
      <rPr>
        <b/>
        <vertAlign val="subscript"/>
        <sz val="11"/>
        <color theme="1"/>
        <rFont val="Aptos Narrow"/>
        <family val="2"/>
        <scheme val="minor"/>
      </rPr>
      <t>B1(Left)</t>
    </r>
    <r>
      <rPr>
        <b/>
        <sz val="11"/>
        <color theme="1"/>
        <rFont val="Aptos Narrow"/>
        <family val="2"/>
        <scheme val="minor"/>
      </rPr>
      <t xml:space="preserve"> (R</t>
    </r>
    <r>
      <rPr>
        <b/>
        <vertAlign val="subscript"/>
        <sz val="11"/>
        <color theme="1"/>
        <rFont val="Aptos Narrow"/>
        <family val="2"/>
        <scheme val="minor"/>
      </rPr>
      <t>total</t>
    </r>
    <r>
      <rPr>
        <b/>
        <sz val="11"/>
        <color theme="1"/>
        <rFont val="Aptos Narrow"/>
        <family val="2"/>
        <scheme val="minor"/>
      </rPr>
      <t xml:space="preserve"> + R</t>
    </r>
    <r>
      <rPr>
        <b/>
        <vertAlign val="subscript"/>
        <sz val="11"/>
        <color theme="1"/>
        <rFont val="Aptos Narrow"/>
        <family val="2"/>
        <scheme val="minor"/>
      </rPr>
      <t>moment</t>
    </r>
    <r>
      <rPr>
        <b/>
        <sz val="11"/>
        <color theme="1"/>
        <rFont val="Aptos Narrow"/>
        <family val="2"/>
        <scheme val="minor"/>
      </rPr>
      <t>)</t>
    </r>
  </si>
  <si>
    <r>
      <t>Reaction @ Column A1 (R</t>
    </r>
    <r>
      <rPr>
        <b/>
        <vertAlign val="subscript"/>
        <sz val="11"/>
        <color theme="1"/>
        <rFont val="Aptos Narrow"/>
        <family val="2"/>
        <scheme val="minor"/>
      </rPr>
      <t>A1</t>
    </r>
    <r>
      <rPr>
        <b/>
        <sz val="11"/>
        <color theme="1"/>
        <rFont val="Aptos Narrow"/>
        <family val="2"/>
        <scheme val="minor"/>
      </rPr>
      <t>)</t>
    </r>
  </si>
  <si>
    <r>
      <t>Reaction @ Column B1 (R</t>
    </r>
    <r>
      <rPr>
        <b/>
        <vertAlign val="subscript"/>
        <sz val="11"/>
        <color theme="1"/>
        <rFont val="Aptos Narrow"/>
        <family val="2"/>
        <scheme val="minor"/>
      </rPr>
      <t>B1</t>
    </r>
    <r>
      <rPr>
        <b/>
        <sz val="11"/>
        <color theme="1"/>
        <rFont val="Aptos Narrow"/>
        <family val="2"/>
        <scheme val="minor"/>
      </rPr>
      <t>)</t>
    </r>
  </si>
  <si>
    <r>
      <t>Reaction @ Column C1 (R</t>
    </r>
    <r>
      <rPr>
        <b/>
        <vertAlign val="subscript"/>
        <sz val="11"/>
        <color theme="1"/>
        <rFont val="Aptos Narrow"/>
        <family val="2"/>
        <scheme val="minor"/>
      </rPr>
      <t>C1</t>
    </r>
    <r>
      <rPr>
        <b/>
        <sz val="11"/>
        <color theme="1"/>
        <rFont val="Aptos Narrow"/>
        <family val="2"/>
        <scheme val="minor"/>
      </rPr>
      <t>)</t>
    </r>
  </si>
  <si>
    <r>
      <t>R</t>
    </r>
    <r>
      <rPr>
        <b/>
        <vertAlign val="subscript"/>
        <sz val="11"/>
        <color theme="1"/>
        <rFont val="Aptos Narrow"/>
        <family val="2"/>
        <scheme val="minor"/>
      </rPr>
      <t>C1</t>
    </r>
    <r>
      <rPr>
        <b/>
        <sz val="11"/>
        <color theme="1"/>
        <rFont val="Aptos Narrow"/>
        <family val="2"/>
        <scheme val="minor"/>
      </rPr>
      <t xml:space="preserve"> (R</t>
    </r>
    <r>
      <rPr>
        <b/>
        <vertAlign val="subscript"/>
        <sz val="11"/>
        <color theme="1"/>
        <rFont val="Aptos Narrow"/>
        <family val="2"/>
        <scheme val="minor"/>
      </rPr>
      <t>total</t>
    </r>
    <r>
      <rPr>
        <b/>
        <sz val="11"/>
        <color theme="1"/>
        <rFont val="Aptos Narrow"/>
        <family val="2"/>
        <scheme val="minor"/>
      </rPr>
      <t xml:space="preserve"> + R</t>
    </r>
    <r>
      <rPr>
        <b/>
        <vertAlign val="subscript"/>
        <sz val="11"/>
        <color theme="1"/>
        <rFont val="Aptos Narrow"/>
        <family val="2"/>
        <scheme val="minor"/>
      </rPr>
      <t>moment</t>
    </r>
    <r>
      <rPr>
        <b/>
        <sz val="11"/>
        <color theme="1"/>
        <rFont val="Aptos Narrow"/>
        <family val="2"/>
        <scheme val="minor"/>
      </rPr>
      <t>)</t>
    </r>
  </si>
  <si>
    <r>
      <t>R</t>
    </r>
    <r>
      <rPr>
        <b/>
        <vertAlign val="subscript"/>
        <sz val="11"/>
        <color theme="1"/>
        <rFont val="Aptos Narrow"/>
        <family val="2"/>
        <scheme val="minor"/>
      </rPr>
      <t>B1(Right)</t>
    </r>
    <r>
      <rPr>
        <b/>
        <sz val="11"/>
        <color theme="1"/>
        <rFont val="Aptos Narrow"/>
        <family val="2"/>
        <scheme val="minor"/>
      </rPr>
      <t xml:space="preserve"> (R</t>
    </r>
    <r>
      <rPr>
        <b/>
        <vertAlign val="subscript"/>
        <sz val="11"/>
        <color theme="1"/>
        <rFont val="Aptos Narrow"/>
        <family val="2"/>
        <scheme val="minor"/>
      </rPr>
      <t>total</t>
    </r>
    <r>
      <rPr>
        <b/>
        <sz val="11"/>
        <color theme="1"/>
        <rFont val="Aptos Narrow"/>
        <family val="2"/>
        <scheme val="minor"/>
      </rPr>
      <t xml:space="preserve"> - R</t>
    </r>
    <r>
      <rPr>
        <b/>
        <vertAlign val="subscript"/>
        <sz val="11"/>
        <color theme="1"/>
        <rFont val="Aptos Narrow"/>
        <family val="2"/>
        <scheme val="minor"/>
      </rPr>
      <t>moment</t>
    </r>
    <r>
      <rPr>
        <b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</si>
</sst>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2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  <xf numFmtId="164" fontId="0" fillId="2" borderId="0" xfId="0" applyNumberFormat="1" applyFill="1" applyAlignment="1">
      <alignment horizontal="center"/>
    </xf>
    <xf numFmtId="164" fontId="0" fillId="0" borderId="0" xfId="0" applyNumberFormat="1"/>
    <xf numFmtId="164" fontId="0" fillId="6" borderId="0" xfId="0" applyNumberFormat="1" applyFill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1" fillId="0" borderId="0" xfId="0" applyNumberFormat="1" applyFont="1"/>
    <xf numFmtId="0" fontId="1" fillId="9" borderId="0" xfId="0" applyFont="1" applyFill="1"/>
    <xf numFmtId="0" fontId="0" fillId="9" borderId="0" xfId="0" applyFill="1"/>
    <xf numFmtId="0" fontId="1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2" fontId="0" fillId="9" borderId="0" xfId="0" applyNumberFormat="1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2" fontId="0" fillId="10" borderId="0" xfId="0" applyNumberFormat="1" applyFill="1"/>
    <xf numFmtId="0" fontId="1" fillId="11" borderId="0" xfId="0" applyFont="1" applyFill="1"/>
    <xf numFmtId="2" fontId="0" fillId="11" borderId="0" xfId="0" applyNumberFormat="1" applyFill="1"/>
    <xf numFmtId="0" fontId="1" fillId="12" borderId="0" xfId="0" applyFont="1" applyFill="1"/>
    <xf numFmtId="0" fontId="0" fillId="12" borderId="0" xfId="0" applyFill="1"/>
    <xf numFmtId="2" fontId="0" fillId="1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3.33</c:v>
                </c:pt>
                <c:pt idx="3">
                  <c:v>3.33</c:v>
                </c:pt>
                <c:pt idx="4">
                  <c:v>3.33</c:v>
                </c:pt>
                <c:pt idx="5">
                  <c:v>6.6099999999999994</c:v>
                </c:pt>
                <c:pt idx="6">
                  <c:v>6.6099999999999994</c:v>
                </c:pt>
              </c:numCache>
            </c:numRef>
          </c:xVal>
          <c:yVal>
            <c:numRef>
              <c:f>Sheet1!$C$11:$C$17</c:f>
              <c:numCache>
                <c:formatCode>General</c:formatCode>
                <c:ptCount val="7"/>
                <c:pt idx="0">
                  <c:v>0</c:v>
                </c:pt>
                <c:pt idx="1">
                  <c:v>2.7</c:v>
                </c:pt>
                <c:pt idx="2">
                  <c:v>2.7</c:v>
                </c:pt>
                <c:pt idx="3">
                  <c:v>0</c:v>
                </c:pt>
                <c:pt idx="4">
                  <c:v>2.7</c:v>
                </c:pt>
                <c:pt idx="5">
                  <c:v>2.7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6-404D-9810-92EE19195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16527"/>
        <c:axId val="1687405967"/>
      </c:scatterChart>
      <c:valAx>
        <c:axId val="168741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05967"/>
        <c:crosses val="autoZero"/>
        <c:crossBetween val="midCat"/>
      </c:valAx>
      <c:valAx>
        <c:axId val="168740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1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504824</xdr:colOff>
      <xdr:row>1</xdr:row>
      <xdr:rowOff>76200</xdr:rowOff>
    </xdr:from>
    <xdr:to>
      <xdr:col>16</xdr:col>
      <xdr:colOff>152399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99105-C8BD-C2C5-FDAE-28F80DEC9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906D-62A3-40C7-927A-E5FA3D560FA7}">
  <dimension ref="A3:K92"/>
  <sheetViews>
    <sheetView tabSelected="1" topLeftCell="A77" zoomScale="130" zoomScaleNormal="130" workbookViewId="0">
      <selection activeCell="B9" sqref="B9"/>
    </sheetView>
  </sheetViews>
  <sheetFormatPr defaultRowHeight="15" x14ac:dyDescent="0.25"/>
  <cols>
    <col min="1" max="1" width="28.140625" customWidth="1"/>
    <col min="2" max="2" width="12.28515625" customWidth="1"/>
    <col min="3" max="3" width="16" customWidth="1"/>
    <col min="4" max="4" width="11.42578125" customWidth="1"/>
    <col min="5" max="5" width="19.5703125" customWidth="1"/>
    <col min="9" max="9" width="12.140625" bestFit="1" customWidth="1"/>
    <col min="10" max="10" width="10.5703125" bestFit="1" customWidth="1"/>
  </cols>
  <sheetData>
    <row r="3" spans="1:3" x14ac:dyDescent="0.25">
      <c r="A3" s="1" t="s">
        <v>0</v>
      </c>
    </row>
    <row r="4" spans="1:3" x14ac:dyDescent="0.25">
      <c r="A4" s="1" t="s">
        <v>1</v>
      </c>
      <c r="B4">
        <v>2.7</v>
      </c>
    </row>
    <row r="5" spans="1:3" x14ac:dyDescent="0.25">
      <c r="A5" s="1" t="s">
        <v>2</v>
      </c>
      <c r="B5">
        <v>3.33</v>
      </c>
    </row>
    <row r="6" spans="1:3" x14ac:dyDescent="0.25">
      <c r="A6" s="1" t="s">
        <v>3</v>
      </c>
      <c r="B6">
        <v>18.829999999999998</v>
      </c>
    </row>
    <row r="7" spans="1:3" x14ac:dyDescent="0.25">
      <c r="A7" s="1" t="s">
        <v>4</v>
      </c>
      <c r="B7">
        <v>3.28</v>
      </c>
    </row>
    <row r="8" spans="1:3" x14ac:dyDescent="0.25">
      <c r="A8" s="1" t="s">
        <v>5</v>
      </c>
      <c r="B8">
        <v>24.22</v>
      </c>
    </row>
    <row r="11" spans="1:3" x14ac:dyDescent="0.25">
      <c r="A11" s="1" t="s">
        <v>6</v>
      </c>
      <c r="B11">
        <v>0</v>
      </c>
      <c r="C11">
        <v>0</v>
      </c>
    </row>
    <row r="12" spans="1:3" x14ac:dyDescent="0.25">
      <c r="A12" s="1" t="s">
        <v>7</v>
      </c>
      <c r="B12">
        <v>0</v>
      </c>
      <c r="C12">
        <f>B4</f>
        <v>2.7</v>
      </c>
    </row>
    <row r="13" spans="1:3" x14ac:dyDescent="0.25">
      <c r="A13" s="1" t="s">
        <v>8</v>
      </c>
      <c r="B13">
        <f>B5</f>
        <v>3.33</v>
      </c>
      <c r="C13">
        <f>B4</f>
        <v>2.7</v>
      </c>
    </row>
    <row r="14" spans="1:3" x14ac:dyDescent="0.25">
      <c r="A14" s="1" t="s">
        <v>9</v>
      </c>
      <c r="B14">
        <f>B5</f>
        <v>3.33</v>
      </c>
      <c r="C14">
        <v>0</v>
      </c>
    </row>
    <row r="15" spans="1:3" x14ac:dyDescent="0.25">
      <c r="A15" s="1" t="s">
        <v>10</v>
      </c>
      <c r="B15">
        <f>B5</f>
        <v>3.33</v>
      </c>
      <c r="C15">
        <f>B4</f>
        <v>2.7</v>
      </c>
    </row>
    <row r="16" spans="1:3" x14ac:dyDescent="0.25">
      <c r="A16" s="1" t="s">
        <v>11</v>
      </c>
      <c r="B16">
        <f>(B5+B7)</f>
        <v>6.6099999999999994</v>
      </c>
      <c r="C16">
        <f>B4</f>
        <v>2.7</v>
      </c>
    </row>
    <row r="17" spans="1:11" x14ac:dyDescent="0.25">
      <c r="A17" s="1" t="s">
        <v>12</v>
      </c>
      <c r="B17">
        <f>(B5+B7)</f>
        <v>6.6099999999999994</v>
      </c>
      <c r="C17">
        <v>0</v>
      </c>
    </row>
    <row r="20" spans="1:11" x14ac:dyDescent="0.25">
      <c r="A20" s="18" t="s">
        <v>13</v>
      </c>
      <c r="B20" s="18"/>
      <c r="D20" s="2" t="s">
        <v>35</v>
      </c>
    </row>
    <row r="21" spans="1:11" ht="18" x14ac:dyDescent="0.35">
      <c r="A21" s="1" t="s">
        <v>14</v>
      </c>
      <c r="B21" s="27">
        <f>-B6*(B5^2)/12</f>
        <v>-17.400332250000002</v>
      </c>
      <c r="D21" s="1" t="s">
        <v>32</v>
      </c>
      <c r="E21" s="10">
        <f>B21</f>
        <v>-17.400332250000002</v>
      </c>
    </row>
    <row r="22" spans="1:11" ht="18" x14ac:dyDescent="0.35">
      <c r="A22" s="1" t="s">
        <v>15</v>
      </c>
      <c r="B22" s="27">
        <f>B6*(B5^2)/12</f>
        <v>17.400332250000002</v>
      </c>
      <c r="D22" s="1" t="s">
        <v>33</v>
      </c>
      <c r="E22" s="10">
        <f>B22+B23</f>
        <v>-4.3137050833333248</v>
      </c>
    </row>
    <row r="23" spans="1:11" ht="18" x14ac:dyDescent="0.35">
      <c r="A23" s="1" t="s">
        <v>16</v>
      </c>
      <c r="B23" s="27">
        <f>-B8*(B7^2)/12</f>
        <v>-21.714037333333327</v>
      </c>
      <c r="D23" s="1" t="s">
        <v>34</v>
      </c>
      <c r="E23" s="10">
        <f>B24</f>
        <v>21.714037333333327</v>
      </c>
    </row>
    <row r="24" spans="1:11" ht="18" x14ac:dyDescent="0.35">
      <c r="A24" s="1" t="s">
        <v>17</v>
      </c>
      <c r="B24" s="27">
        <f>B8*(B7^2)/12</f>
        <v>21.714037333333327</v>
      </c>
    </row>
    <row r="27" spans="1:11" x14ac:dyDescent="0.25">
      <c r="A27" s="4" t="s">
        <v>18</v>
      </c>
      <c r="B27" s="5"/>
      <c r="C27" s="5"/>
      <c r="D27" s="5"/>
      <c r="E27" s="5"/>
      <c r="G27" s="21" t="s">
        <v>31</v>
      </c>
      <c r="H27" s="21"/>
      <c r="I27" s="21"/>
    </row>
    <row r="28" spans="1:11" x14ac:dyDescent="0.25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G28" s="7" t="s">
        <v>19</v>
      </c>
      <c r="H28" s="7" t="s">
        <v>20</v>
      </c>
      <c r="I28" s="7" t="s">
        <v>21</v>
      </c>
      <c r="J28" s="7" t="s">
        <v>22</v>
      </c>
      <c r="K28" s="7" t="s">
        <v>23</v>
      </c>
    </row>
    <row r="29" spans="1:11" x14ac:dyDescent="0.25">
      <c r="A29" s="19" t="s">
        <v>7</v>
      </c>
      <c r="B29" s="6" t="s">
        <v>24</v>
      </c>
      <c r="C29" s="9">
        <f>4/B5</f>
        <v>1.2012012012012012</v>
      </c>
      <c r="D29" s="20">
        <f>C29+C30</f>
        <v>2.6826826826826826</v>
      </c>
      <c r="E29" s="9">
        <f>-0.5*(C29/D29)</f>
        <v>-0.22388059701492538</v>
      </c>
      <c r="G29" s="22">
        <v>1</v>
      </c>
      <c r="H29" s="8" t="s">
        <v>25</v>
      </c>
      <c r="I29" s="11">
        <f>4/B4</f>
        <v>1.4814814814814814</v>
      </c>
      <c r="J29" s="23">
        <f>SUM(I29:I31)</f>
        <v>4.4444444444444446</v>
      </c>
      <c r="K29" s="8">
        <f>-1.5*(I29/J29)</f>
        <v>-0.5</v>
      </c>
    </row>
    <row r="30" spans="1:11" x14ac:dyDescent="0.25">
      <c r="A30" s="19"/>
      <c r="B30" s="6" t="s">
        <v>25</v>
      </c>
      <c r="C30" s="9">
        <f>4/B4</f>
        <v>1.4814814814814814</v>
      </c>
      <c r="D30" s="20"/>
      <c r="E30" s="9">
        <f>-0.5*(C30/D29)</f>
        <v>-0.27611940298507459</v>
      </c>
      <c r="G30" s="22"/>
      <c r="H30" s="8" t="s">
        <v>28</v>
      </c>
      <c r="I30" s="11">
        <f>4/B4</f>
        <v>1.4814814814814814</v>
      </c>
      <c r="J30" s="23"/>
      <c r="K30" s="8">
        <f>-1.5*(I30/J29)</f>
        <v>-0.5</v>
      </c>
    </row>
    <row r="31" spans="1:11" x14ac:dyDescent="0.25">
      <c r="A31" s="19" t="s">
        <v>8</v>
      </c>
      <c r="B31" s="6" t="s">
        <v>26</v>
      </c>
      <c r="C31" s="9">
        <f>4/B5</f>
        <v>1.2012012012012012</v>
      </c>
      <c r="D31" s="20">
        <f>C31+C32+C33</f>
        <v>3.9021948778046336</v>
      </c>
      <c r="E31" s="9">
        <f>-0.5*(C31/D31)</f>
        <v>-0.15391353312894954</v>
      </c>
      <c r="G31" s="22"/>
      <c r="H31" s="8" t="s">
        <v>30</v>
      </c>
      <c r="I31" s="11">
        <f>4/B4</f>
        <v>1.4814814814814814</v>
      </c>
      <c r="J31" s="23"/>
      <c r="K31" s="8">
        <f>-1.5*(I31/J29)</f>
        <v>-0.5</v>
      </c>
    </row>
    <row r="32" spans="1:11" x14ac:dyDescent="0.25">
      <c r="A32" s="19"/>
      <c r="B32" s="6" t="s">
        <v>27</v>
      </c>
      <c r="C32" s="9">
        <f>4/B7</f>
        <v>1.2195121951219512</v>
      </c>
      <c r="D32" s="20"/>
      <c r="E32" s="9">
        <f>-0.5*(C32/D31)</f>
        <v>-0.15625977601201277</v>
      </c>
    </row>
    <row r="33" spans="1:9" x14ac:dyDescent="0.25">
      <c r="A33" s="19"/>
      <c r="B33" s="6" t="s">
        <v>28</v>
      </c>
      <c r="C33" s="9">
        <f>4/B4</f>
        <v>1.4814814814814814</v>
      </c>
      <c r="D33" s="20"/>
      <c r="E33" s="9">
        <f>-0.5*(C33/D31)</f>
        <v>-0.18982669085903772</v>
      </c>
    </row>
    <row r="34" spans="1:9" x14ac:dyDescent="0.25">
      <c r="A34" s="19" t="s">
        <v>11</v>
      </c>
      <c r="B34" s="6" t="s">
        <v>29</v>
      </c>
      <c r="C34" s="9">
        <f>4/B7</f>
        <v>1.2195121951219512</v>
      </c>
      <c r="D34" s="20">
        <f>C34+C35</f>
        <v>2.7009936766034324</v>
      </c>
      <c r="E34" s="9">
        <f>-0.5*(C34/D34)</f>
        <v>-0.22575250836120403</v>
      </c>
      <c r="G34" s="16"/>
    </row>
    <row r="35" spans="1:9" x14ac:dyDescent="0.25">
      <c r="A35" s="19"/>
      <c r="B35" s="6" t="s">
        <v>30</v>
      </c>
      <c r="C35" s="9">
        <f>4/B4</f>
        <v>1.4814814814814814</v>
      </c>
      <c r="D35" s="20"/>
      <c r="E35" s="9">
        <f>-0.5*(C35/D34)</f>
        <v>-0.27424749163879603</v>
      </c>
    </row>
    <row r="38" spans="1:9" x14ac:dyDescent="0.25">
      <c r="A38" s="18" t="s">
        <v>45</v>
      </c>
      <c r="B38" s="18"/>
      <c r="C38" s="17" t="s">
        <v>46</v>
      </c>
      <c r="D38" s="17"/>
      <c r="E38" s="17"/>
    </row>
    <row r="39" spans="1:9" x14ac:dyDescent="0.25">
      <c r="A39" s="12" t="s">
        <v>36</v>
      </c>
      <c r="B39" s="12" t="s">
        <v>37</v>
      </c>
      <c r="C39" s="12" t="s">
        <v>38</v>
      </c>
      <c r="D39" s="12" t="s">
        <v>39</v>
      </c>
      <c r="E39" s="12" t="s">
        <v>40</v>
      </c>
      <c r="F39" s="12" t="s">
        <v>41</v>
      </c>
      <c r="G39" s="12" t="s">
        <v>42</v>
      </c>
      <c r="H39" s="12" t="s">
        <v>43</v>
      </c>
      <c r="I39" s="12" t="s">
        <v>44</v>
      </c>
    </row>
    <row r="40" spans="1:9" x14ac:dyDescent="0.25">
      <c r="A40" s="13">
        <v>1</v>
      </c>
      <c r="B40" s="14">
        <f>E29 * (E21 + 0 + 0)</f>
        <v>3.89559677238806</v>
      </c>
      <c r="C40" s="15">
        <f>E30*(E21+0+0)</f>
        <v>4.8045693526119404</v>
      </c>
      <c r="D40" s="15">
        <f>E31*(E22+B40+0)</f>
        <v>6.4352527368163145E-2</v>
      </c>
      <c r="E40" s="15">
        <f>E32*(E22+B40+0)</f>
        <v>6.5333511017068066E-2</v>
      </c>
      <c r="F40" s="15">
        <f>E33*(E22+B40+0)</f>
        <v>7.9368117087401199E-2</v>
      </c>
      <c r="G40" s="15">
        <f>E34*(E23+E40+0)</f>
        <v>-4.9167475986409759</v>
      </c>
      <c r="H40" s="15">
        <f>E35*(E23+E40+0)</f>
        <v>-5.972937823534223</v>
      </c>
      <c r="I40" s="15">
        <f>-0.5*(C40+F40+H40)</f>
        <v>0.5445001769174409</v>
      </c>
    </row>
    <row r="41" spans="1:9" x14ac:dyDescent="0.25">
      <c r="A41" s="13">
        <v>2</v>
      </c>
      <c r="B41" s="15">
        <f>E29*(E21+D40+I40)</f>
        <v>3.7592864654584468</v>
      </c>
      <c r="C41" s="15">
        <f>E30*(E21+D40+I40)</f>
        <v>4.6364533073987504</v>
      </c>
      <c r="D41" s="15">
        <f>E31*(E22+I40+B41+G40)</f>
        <v>0.75828057670100091</v>
      </c>
      <c r="E41" s="15">
        <f>E32*(E22+I40+B41+G40)</f>
        <v>0.76983973183363796</v>
      </c>
      <c r="F41" s="15">
        <f>E33*(E22+I40+B41+G40)</f>
        <v>0.93521271126456751</v>
      </c>
      <c r="G41" s="15">
        <f>E34*(E23+I40+E41)</f>
        <v>-5.1987139258886206</v>
      </c>
      <c r="H41" s="15">
        <f>E35*(E23+I40+E41)</f>
        <v>-6.3154746951535836</v>
      </c>
      <c r="I41" s="15">
        <f>-0.5*(C41+F41+H41)</f>
        <v>0.37190433824513303</v>
      </c>
    </row>
    <row r="42" spans="1:9" x14ac:dyDescent="0.25">
      <c r="A42" s="13">
        <v>3</v>
      </c>
      <c r="B42" s="15">
        <f>$E$29*($E$21+I41+D41)</f>
        <v>3.6425702988926569</v>
      </c>
      <c r="C42" s="15">
        <f>$E$30*($E$21+I41+D41)</f>
        <v>4.4925033686342761</v>
      </c>
      <c r="D42" s="15">
        <f>$E$31*($E$22+I41+B42+G41)</f>
        <v>0.84620804325389642</v>
      </c>
      <c r="E42" s="15">
        <f>$E$32*($E$22+I41+B42+G41)</f>
        <v>0.85910755610837641</v>
      </c>
      <c r="F42" s="15">
        <f>$E$33*($E$22+I41+B42+G41)</f>
        <v>1.0436565866798053</v>
      </c>
      <c r="G42" s="15">
        <f>$E$34*($E$23+I41+E42)</f>
        <v>-5.1799024176216104</v>
      </c>
      <c r="H42" s="15">
        <f>$E$35*($E$23+I41+E42)</f>
        <v>-6.2926221962218092</v>
      </c>
      <c r="I42" s="15">
        <f>-0.5*(C42+F42+H42)</f>
        <v>0.37823112045386376</v>
      </c>
    </row>
    <row r="43" spans="1:9" x14ac:dyDescent="0.25">
      <c r="A43" s="13">
        <v>4</v>
      </c>
      <c r="B43" s="15">
        <f t="shared" ref="B43:B44" si="0">$E$29*($E$21+I42+D42)</f>
        <v>3.621468601408711</v>
      </c>
      <c r="C43" s="15">
        <f t="shared" ref="C43:C44" si="1">$E$30*($E$21+I42+D42)</f>
        <v>4.4664779417374092</v>
      </c>
      <c r="D43" s="15">
        <f t="shared" ref="D43" si="2">$E$31*($E$22+I42+B43+G42)</f>
        <v>0.84558675696472563</v>
      </c>
      <c r="E43" s="15">
        <f t="shared" ref="E43:E44" si="3">$E$32*($E$22+I42+B43+G42)</f>
        <v>0.85847679899162677</v>
      </c>
      <c r="F43" s="15">
        <f t="shared" ref="F43:F44" si="4">$E$33*($E$22+I42+B43+G42)</f>
        <v>1.0428903335898281</v>
      </c>
      <c r="G43" s="15">
        <f t="shared" ref="G43:G44" si="5">$E$34*($E$23+I42+E43)</f>
        <v>-5.1811883095738143</v>
      </c>
      <c r="H43" s="15">
        <f>$E$35*($E$23+I42+E43)</f>
        <v>-6.2941843168155973</v>
      </c>
      <c r="I43" s="15">
        <f t="shared" ref="I43:I44" si="6">-0.5*(C43+F43+H43)</f>
        <v>0.39240802074418024</v>
      </c>
    </row>
    <row r="44" spans="1:9" x14ac:dyDescent="0.25">
      <c r="A44" s="13">
        <v>5</v>
      </c>
      <c r="B44" s="15">
        <f t="shared" si="0"/>
        <v>3.6184337624532308</v>
      </c>
      <c r="C44" s="15">
        <f t="shared" si="1"/>
        <v>4.4627349736923172</v>
      </c>
      <c r="D44" s="15">
        <f>$E$31*($E$22+I43+B44+G43)</f>
        <v>0.84406975911192728</v>
      </c>
      <c r="E44" s="15">
        <f t="shared" si="3"/>
        <v>0.85693667617156022</v>
      </c>
      <c r="F44" s="15">
        <f t="shared" si="4"/>
        <v>1.0410193695713768</v>
      </c>
      <c r="G44" s="15">
        <f t="shared" si="5"/>
        <v>-5.184041093785325</v>
      </c>
      <c r="H44" s="15">
        <f t="shared" ref="H43:H44" si="7">$E$35*($E$23+I43+E44)</f>
        <v>-6.2976499213392101</v>
      </c>
      <c r="I44" s="15">
        <f t="shared" si="6"/>
        <v>0.39694778903775818</v>
      </c>
    </row>
    <row r="47" spans="1:9" x14ac:dyDescent="0.25">
      <c r="A47" s="1" t="s">
        <v>47</v>
      </c>
      <c r="B47" s="17" t="s">
        <v>48</v>
      </c>
      <c r="C47" s="17"/>
      <c r="D47" s="17"/>
      <c r="E47" s="17"/>
    </row>
    <row r="48" spans="1:9" x14ac:dyDescent="0.25">
      <c r="A48" s="1" t="s">
        <v>49</v>
      </c>
    </row>
    <row r="49" spans="1:9" ht="18" x14ac:dyDescent="0.35">
      <c r="A49" s="28" t="s">
        <v>73</v>
      </c>
      <c r="B49" s="27">
        <f>E21+2*(B44)+D44</f>
        <v>-9.319394965981612</v>
      </c>
    </row>
    <row r="50" spans="1:9" ht="18" x14ac:dyDescent="0.35">
      <c r="A50" s="28" t="s">
        <v>74</v>
      </c>
      <c r="B50" s="27">
        <f>-E21+2*(D44)+B44</f>
        <v>22.706905530677084</v>
      </c>
    </row>
    <row r="51" spans="1:9" ht="18" x14ac:dyDescent="0.35">
      <c r="A51" s="28" t="s">
        <v>75</v>
      </c>
      <c r="B51" s="27">
        <f>-E23+2*(E44)+G44</f>
        <v>-25.18420507477553</v>
      </c>
      <c r="E51" t="s">
        <v>51</v>
      </c>
    </row>
    <row r="52" spans="1:9" ht="18" x14ac:dyDescent="0.35">
      <c r="A52" s="28" t="s">
        <v>76</v>
      </c>
      <c r="B52" s="27">
        <f>E23+2*G44+E44</f>
        <v>12.202891821934237</v>
      </c>
      <c r="E52" s="1" t="s">
        <v>52</v>
      </c>
      <c r="F52" s="25" t="s">
        <v>53</v>
      </c>
      <c r="G52" s="25"/>
      <c r="H52" s="26">
        <f>B49+B54</f>
        <v>3.0227704407810307E-3</v>
      </c>
      <c r="I52" s="26"/>
    </row>
    <row r="53" spans="1:9" ht="18" x14ac:dyDescent="0.35">
      <c r="A53" s="24" t="s">
        <v>50</v>
      </c>
      <c r="B53" s="24"/>
      <c r="E53" s="1" t="s">
        <v>52</v>
      </c>
      <c r="F53" s="25" t="s">
        <v>54</v>
      </c>
      <c r="G53" s="25"/>
      <c r="H53" s="26">
        <f>B50+B51+B56</f>
        <v>1.6869840820650239E-3</v>
      </c>
      <c r="I53" s="26"/>
    </row>
    <row r="54" spans="1:9" ht="18" x14ac:dyDescent="0.35">
      <c r="A54" s="28" t="s">
        <v>67</v>
      </c>
      <c r="B54" s="27">
        <f>0+2*C44+0+I44</f>
        <v>9.322417736422393</v>
      </c>
      <c r="E54" s="1" t="s">
        <v>52</v>
      </c>
      <c r="F54" s="25" t="s">
        <v>55</v>
      </c>
      <c r="G54" s="25"/>
      <c r="H54" s="26">
        <f>B52+B58</f>
        <v>4.5397682935757189E-3</v>
      </c>
      <c r="I54" s="26"/>
    </row>
    <row r="55" spans="1:9" ht="18" x14ac:dyDescent="0.35">
      <c r="A55" s="28" t="s">
        <v>68</v>
      </c>
      <c r="B55" s="27">
        <f>0+2*0+C44+I44</f>
        <v>4.8596827627300758</v>
      </c>
    </row>
    <row r="56" spans="1:9" ht="18" x14ac:dyDescent="0.35">
      <c r="A56" s="28" t="s">
        <v>69</v>
      </c>
      <c r="B56" s="27">
        <f>0+2*F44+0+I44</f>
        <v>2.4789865281805117</v>
      </c>
    </row>
    <row r="57" spans="1:9" ht="18" x14ac:dyDescent="0.35">
      <c r="A57" s="28" t="s">
        <v>70</v>
      </c>
      <c r="B57" s="27">
        <f>0+2*0+F44+I44</f>
        <v>1.4379671586091349</v>
      </c>
    </row>
    <row r="58" spans="1:9" ht="18" x14ac:dyDescent="0.35">
      <c r="A58" s="28" t="s">
        <v>71</v>
      </c>
      <c r="B58" s="27">
        <f>0+2*H44+0+I44</f>
        <v>-12.198352053640662</v>
      </c>
    </row>
    <row r="59" spans="1:9" ht="18" x14ac:dyDescent="0.35">
      <c r="A59" s="28" t="s">
        <v>72</v>
      </c>
      <c r="B59" s="27">
        <f>0+2*0+H44+I44</f>
        <v>-5.9007021323014524</v>
      </c>
    </row>
    <row r="62" spans="1:9" x14ac:dyDescent="0.25">
      <c r="A62" s="24" t="s">
        <v>56</v>
      </c>
      <c r="B62" s="24"/>
    </row>
    <row r="63" spans="1:9" ht="18" x14ac:dyDescent="0.35">
      <c r="A63" s="39" t="s">
        <v>65</v>
      </c>
      <c r="B63" s="40">
        <f>(B6*B5^2)/8</f>
        <v>26.100498375000001</v>
      </c>
    </row>
    <row r="64" spans="1:9" ht="18" x14ac:dyDescent="0.35">
      <c r="A64" s="39" t="s">
        <v>66</v>
      </c>
      <c r="B64" s="40">
        <f>(B8*B7^2)/8</f>
        <v>32.571055999999992</v>
      </c>
    </row>
    <row r="67" spans="1:4" x14ac:dyDescent="0.25">
      <c r="A67" s="18" t="s">
        <v>57</v>
      </c>
      <c r="B67" s="18"/>
    </row>
    <row r="68" spans="1:4" x14ac:dyDescent="0.25">
      <c r="A68" s="29" t="s">
        <v>58</v>
      </c>
      <c r="B68" s="30"/>
      <c r="C68" s="30"/>
      <c r="D68" s="30"/>
    </row>
    <row r="69" spans="1:4" x14ac:dyDescent="0.25">
      <c r="A69" s="31" t="s">
        <v>59</v>
      </c>
      <c r="B69" s="32">
        <f>B5</f>
        <v>3.33</v>
      </c>
      <c r="C69" s="31" t="s">
        <v>60</v>
      </c>
      <c r="D69" s="32">
        <f>B6</f>
        <v>18.829999999999998</v>
      </c>
    </row>
    <row r="70" spans="1:4" x14ac:dyDescent="0.25">
      <c r="A70" s="31" t="s">
        <v>61</v>
      </c>
      <c r="B70" s="31"/>
      <c r="C70" s="30"/>
      <c r="D70" s="30"/>
    </row>
    <row r="71" spans="1:4" ht="18" x14ac:dyDescent="0.35">
      <c r="A71" s="29" t="s">
        <v>64</v>
      </c>
      <c r="B71" s="33">
        <f>(B6*B5)/2</f>
        <v>31.351949999999999</v>
      </c>
      <c r="C71" s="30"/>
      <c r="D71" s="30"/>
    </row>
    <row r="72" spans="1:4" x14ac:dyDescent="0.25">
      <c r="A72" s="31" t="s">
        <v>62</v>
      </c>
      <c r="B72" s="31"/>
      <c r="C72" s="30"/>
      <c r="D72" s="30"/>
    </row>
    <row r="73" spans="1:4" ht="18" x14ac:dyDescent="0.35">
      <c r="A73" s="29" t="s">
        <v>63</v>
      </c>
      <c r="B73" s="33">
        <f>(B50+B49)/B5</f>
        <v>4.0202734428514928</v>
      </c>
      <c r="C73" s="30"/>
      <c r="D73" s="30"/>
    </row>
    <row r="74" spans="1:4" x14ac:dyDescent="0.25">
      <c r="A74" s="29" t="s">
        <v>77</v>
      </c>
      <c r="B74" s="30"/>
      <c r="C74" s="30"/>
      <c r="D74" s="30"/>
    </row>
    <row r="75" spans="1:4" ht="18" x14ac:dyDescent="0.35">
      <c r="A75" s="29" t="s">
        <v>80</v>
      </c>
      <c r="B75" s="33">
        <f>B71-B73</f>
        <v>27.331676557148505</v>
      </c>
      <c r="C75" s="30"/>
      <c r="D75" s="30"/>
    </row>
    <row r="76" spans="1:4" ht="18" x14ac:dyDescent="0.35">
      <c r="A76" s="29" t="s">
        <v>81</v>
      </c>
      <c r="B76" s="33">
        <f>B71+B73</f>
        <v>35.372223442851492</v>
      </c>
      <c r="C76" s="30"/>
      <c r="D76" s="30"/>
    </row>
    <row r="78" spans="1:4" x14ac:dyDescent="0.25">
      <c r="A78" s="34" t="s">
        <v>78</v>
      </c>
      <c r="B78" s="35"/>
      <c r="C78" s="35"/>
      <c r="D78" s="35"/>
    </row>
    <row r="79" spans="1:4" x14ac:dyDescent="0.25">
      <c r="A79" s="36" t="s">
        <v>59</v>
      </c>
      <c r="B79" s="37">
        <f>B7</f>
        <v>3.28</v>
      </c>
      <c r="C79" s="36" t="s">
        <v>60</v>
      </c>
      <c r="D79" s="37">
        <f>B8</f>
        <v>24.22</v>
      </c>
    </row>
    <row r="80" spans="1:4" x14ac:dyDescent="0.25">
      <c r="A80" s="36" t="s">
        <v>61</v>
      </c>
      <c r="B80" s="36"/>
      <c r="C80" s="35"/>
      <c r="D80" s="35"/>
    </row>
    <row r="81" spans="1:4" ht="18" x14ac:dyDescent="0.35">
      <c r="A81" s="34" t="s">
        <v>64</v>
      </c>
      <c r="B81" s="38">
        <f>(B8*B7)/2</f>
        <v>39.720799999999997</v>
      </c>
      <c r="C81" s="35"/>
      <c r="D81" s="35"/>
    </row>
    <row r="82" spans="1:4" x14ac:dyDescent="0.25">
      <c r="A82" s="36" t="s">
        <v>62</v>
      </c>
      <c r="B82" s="36"/>
      <c r="C82" s="35"/>
      <c r="D82" s="35"/>
    </row>
    <row r="83" spans="1:4" ht="18" x14ac:dyDescent="0.35">
      <c r="A83" s="34" t="s">
        <v>63</v>
      </c>
      <c r="B83" s="38">
        <f>(-B51-B52)/B7</f>
        <v>3.9577174551345409</v>
      </c>
      <c r="C83" s="35"/>
      <c r="D83" s="35"/>
    </row>
    <row r="84" spans="1:4" x14ac:dyDescent="0.25">
      <c r="A84" s="34" t="s">
        <v>77</v>
      </c>
      <c r="B84" s="35"/>
      <c r="C84" s="35"/>
      <c r="D84" s="35"/>
    </row>
    <row r="85" spans="1:4" ht="18" x14ac:dyDescent="0.35">
      <c r="A85" s="34" t="s">
        <v>86</v>
      </c>
      <c r="B85" s="38">
        <f>B81+B83</f>
        <v>43.678517455134539</v>
      </c>
      <c r="C85" s="35"/>
      <c r="D85" s="35"/>
    </row>
    <row r="86" spans="1:4" ht="18" x14ac:dyDescent="0.35">
      <c r="A86" s="34" t="s">
        <v>85</v>
      </c>
      <c r="B86" s="38">
        <f>B81-B83</f>
        <v>35.763082544865455</v>
      </c>
      <c r="C86" s="35"/>
      <c r="D86" s="35"/>
    </row>
    <row r="89" spans="1:4" x14ac:dyDescent="0.25">
      <c r="A89" s="41" t="s">
        <v>79</v>
      </c>
      <c r="B89" s="42"/>
    </row>
    <row r="90" spans="1:4" ht="18" x14ac:dyDescent="0.35">
      <c r="A90" s="41" t="s">
        <v>82</v>
      </c>
      <c r="B90" s="43">
        <f>B75</f>
        <v>27.331676557148505</v>
      </c>
    </row>
    <row r="91" spans="1:4" ht="18" x14ac:dyDescent="0.35">
      <c r="A91" s="41" t="s">
        <v>83</v>
      </c>
      <c r="B91" s="43">
        <f>B76+B85</f>
        <v>79.050740897986032</v>
      </c>
    </row>
    <row r="92" spans="1:4" ht="18" x14ac:dyDescent="0.35">
      <c r="A92" s="41" t="s">
        <v>84</v>
      </c>
      <c r="B92" s="43">
        <f>B86</f>
        <v>35.763082544865455</v>
      </c>
    </row>
  </sheetData>
  <mergeCells count="22">
    <mergeCell ref="A62:B62"/>
    <mergeCell ref="A67:B67"/>
    <mergeCell ref="A53:B53"/>
    <mergeCell ref="F52:G52"/>
    <mergeCell ref="H52:I52"/>
    <mergeCell ref="F53:G53"/>
    <mergeCell ref="F54:G54"/>
    <mergeCell ref="H53:I53"/>
    <mergeCell ref="H54:I54"/>
    <mergeCell ref="G27:I27"/>
    <mergeCell ref="G29:G31"/>
    <mergeCell ref="J29:J31"/>
    <mergeCell ref="A38:B38"/>
    <mergeCell ref="C38:E38"/>
    <mergeCell ref="B47:E47"/>
    <mergeCell ref="A20:B20"/>
    <mergeCell ref="A29:A30"/>
    <mergeCell ref="A31:A33"/>
    <mergeCell ref="A34:A35"/>
    <mergeCell ref="D29:D30"/>
    <mergeCell ref="D31:D33"/>
    <mergeCell ref="D34:D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RAHMAN</dc:creator>
  <cp:lastModifiedBy>SA RAHMAN</cp:lastModifiedBy>
  <dcterms:created xsi:type="dcterms:W3CDTF">2026-03-18T11:53:31Z</dcterms:created>
  <dcterms:modified xsi:type="dcterms:W3CDTF">2026-03-22T17:51:41Z</dcterms:modified>
</cp:coreProperties>
</file>